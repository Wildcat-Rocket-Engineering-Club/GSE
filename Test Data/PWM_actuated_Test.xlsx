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asthomas 1/Downloads/"/>
    </mc:Choice>
  </mc:AlternateContent>
  <xr:revisionPtr revIDLastSave="0" documentId="8_{07D5EABD-E196-864C-861D-C3AC0A43E6B0}" xr6:coauthVersionLast="47" xr6:coauthVersionMax="47" xr10:uidLastSave="{00000000-0000-0000-0000-000000000000}"/>
  <bookViews>
    <workbookView xWindow="380" yWindow="500" windowWidth="28040" windowHeight="16580" xr2:uid="{5821EC37-15C1-BA46-B51A-617DADDA1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</calcChain>
</file>

<file path=xl/sharedStrings.xml><?xml version="1.0" encoding="utf-8"?>
<sst xmlns="http://schemas.openxmlformats.org/spreadsheetml/2006/main" count="5" uniqueCount="5">
  <si>
    <t>17424∞Åèˇˇˇˇˇˇˇˇˇˇˇˇˇˇˇˇˇˇˇˇˇˇˇˇˇˇˇˇˇˇˇˇˇˇˇˇˇˇˇˇˇˇˇˇˇˇˇˇˇˇˇˇˇˇˇ</t>
  </si>
  <si>
    <t>Milliseconds</t>
  </si>
  <si>
    <t>mass (kg)</t>
  </si>
  <si>
    <t>seconds</t>
  </si>
  <si>
    <t>mass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</si>
</sst>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1B20E-011B-4C42-B815-DCFAA2DC0680}" name="Table1" displayName="Table1" ref="A1:D289" totalsRowShown="0">
  <autoFilter ref="A1:D289" xr:uid="{0391B20E-011B-4C42-B815-DCFAA2DC0680}"/>
  <tableColumns count="4">
    <tableColumn id="1" xr3:uid="{3EB93FE7-4975-C549-ABC9-F11DC4FA00CA}" name="Milliseconds"/>
    <tableColumn id="2" xr3:uid="{975834FB-60A7-9644-952E-7F2ECD8D1D00}" name="mass (kg)"/>
    <tableColumn id="3" xr3:uid="{1379A54E-E357-234B-99E9-55928283106C}" name="seconds" dataDxfId="1">
      <calculatedColumnFormula>Table1[[#This Row],[Milliseconds]]/1000</calculatedColumnFormula>
    </tableColumn>
    <tableColumn id="4" xr3:uid="{34067A5E-713B-944B-9D8D-CFBDCA1492D4}" name="mass (N)" dataDxfId="0">
      <calculatedColumnFormula>Table1[[#This Row],[mass (kg)]]*9.81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4E53-7192-7E4B-A2F4-E0BB1802E2A4}">
  <dimension ref="A1:D290"/>
  <sheetViews>
    <sheetView tabSelected="1" workbookViewId="0">
      <selection activeCell="D3" sqref="D3"/>
    </sheetView>
  </sheetViews>
  <sheetFormatPr baseColWidth="10" defaultRowHeight="16" x14ac:dyDescent="0.2"/>
  <cols>
    <col min="1" max="1" width="54.83203125" bestFit="1" customWidth="1"/>
    <col min="2" max="2" width="10.6640625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v>38</v>
      </c>
      <c r="B2">
        <v>0.44</v>
      </c>
      <c r="C2">
        <f>Table1[[#This Row],[Milliseconds]]/1000</f>
        <v>3.7999999999999999E-2</v>
      </c>
      <c r="D2">
        <f>Table1[[#This Row],[mass (kg)]]*9.81</f>
        <v>4.3164000000000007</v>
      </c>
    </row>
    <row r="3" spans="1:4" x14ac:dyDescent="0.2">
      <c r="A3">
        <v>172</v>
      </c>
      <c r="B3">
        <v>0.52</v>
      </c>
      <c r="C3">
        <f>Table1[[#This Row],[Milliseconds]]/1000</f>
        <v>0.17199999999999999</v>
      </c>
      <c r="D3">
        <f>Table1[[#This Row],[mass (kg)]]*9.81</f>
        <v>5.1012000000000004</v>
      </c>
    </row>
    <row r="4" spans="1:4" x14ac:dyDescent="0.2">
      <c r="A4">
        <v>231</v>
      </c>
      <c r="B4">
        <v>0.35</v>
      </c>
      <c r="C4">
        <f>Table1[[#This Row],[Milliseconds]]/1000</f>
        <v>0.23100000000000001</v>
      </c>
      <c r="D4">
        <f>Table1[[#This Row],[mass (kg)]]*9.81</f>
        <v>3.4335</v>
      </c>
    </row>
    <row r="5" spans="1:4" x14ac:dyDescent="0.2">
      <c r="A5">
        <v>291</v>
      </c>
      <c r="B5">
        <v>0.21</v>
      </c>
      <c r="C5">
        <f>Table1[[#This Row],[Milliseconds]]/1000</f>
        <v>0.29099999999999998</v>
      </c>
      <c r="D5">
        <f>Table1[[#This Row],[mass (kg)]]*9.81</f>
        <v>2.0600999999999998</v>
      </c>
    </row>
    <row r="6" spans="1:4" x14ac:dyDescent="0.2">
      <c r="A6">
        <v>352</v>
      </c>
      <c r="B6">
        <v>0.17</v>
      </c>
      <c r="C6">
        <f>Table1[[#This Row],[Milliseconds]]/1000</f>
        <v>0.35199999999999998</v>
      </c>
      <c r="D6">
        <f>Table1[[#This Row],[mass (kg)]]*9.81</f>
        <v>1.6677000000000002</v>
      </c>
    </row>
    <row r="7" spans="1:4" x14ac:dyDescent="0.2">
      <c r="A7">
        <v>411</v>
      </c>
      <c r="B7">
        <v>0.21</v>
      </c>
      <c r="C7">
        <f>Table1[[#This Row],[Milliseconds]]/1000</f>
        <v>0.41099999999999998</v>
      </c>
      <c r="D7">
        <f>Table1[[#This Row],[mass (kg)]]*9.81</f>
        <v>2.0600999999999998</v>
      </c>
    </row>
    <row r="8" spans="1:4" x14ac:dyDescent="0.2">
      <c r="A8">
        <v>472</v>
      </c>
      <c r="B8">
        <v>0.24</v>
      </c>
      <c r="C8">
        <f>Table1[[#This Row],[Milliseconds]]/1000</f>
        <v>0.47199999999999998</v>
      </c>
      <c r="D8">
        <f>Table1[[#This Row],[mass (kg)]]*9.81</f>
        <v>2.3544</v>
      </c>
    </row>
    <row r="9" spans="1:4" x14ac:dyDescent="0.2">
      <c r="A9">
        <v>532</v>
      </c>
      <c r="B9">
        <v>0.26</v>
      </c>
      <c r="C9">
        <f>Table1[[#This Row],[Milliseconds]]/1000</f>
        <v>0.53200000000000003</v>
      </c>
      <c r="D9">
        <f>Table1[[#This Row],[mass (kg)]]*9.81</f>
        <v>2.5506000000000002</v>
      </c>
    </row>
    <row r="10" spans="1:4" x14ac:dyDescent="0.2">
      <c r="A10">
        <v>592</v>
      </c>
      <c r="B10">
        <v>0.25</v>
      </c>
      <c r="C10">
        <f>Table1[[#This Row],[Milliseconds]]/1000</f>
        <v>0.59199999999999997</v>
      </c>
      <c r="D10">
        <f>Table1[[#This Row],[mass (kg)]]*9.81</f>
        <v>2.4525000000000001</v>
      </c>
    </row>
    <row r="11" spans="1:4" x14ac:dyDescent="0.2">
      <c r="A11">
        <v>652</v>
      </c>
      <c r="B11">
        <v>0.2</v>
      </c>
      <c r="C11">
        <f>Table1[[#This Row],[Milliseconds]]/1000</f>
        <v>0.65200000000000002</v>
      </c>
      <c r="D11">
        <f>Table1[[#This Row],[mass (kg)]]*9.81</f>
        <v>1.9620000000000002</v>
      </c>
    </row>
    <row r="12" spans="1:4" x14ac:dyDescent="0.2">
      <c r="A12">
        <v>712</v>
      </c>
      <c r="B12">
        <v>0.19</v>
      </c>
      <c r="C12">
        <f>Table1[[#This Row],[Milliseconds]]/1000</f>
        <v>0.71199999999999997</v>
      </c>
      <c r="D12">
        <f>Table1[[#This Row],[mass (kg)]]*9.81</f>
        <v>1.8639000000000001</v>
      </c>
    </row>
    <row r="13" spans="1:4" x14ac:dyDescent="0.2">
      <c r="A13">
        <v>773</v>
      </c>
      <c r="B13">
        <v>0.13</v>
      </c>
      <c r="C13">
        <f>Table1[[#This Row],[Milliseconds]]/1000</f>
        <v>0.77300000000000002</v>
      </c>
      <c r="D13">
        <f>Table1[[#This Row],[mass (kg)]]*9.81</f>
        <v>1.2753000000000001</v>
      </c>
    </row>
    <row r="14" spans="1:4" x14ac:dyDescent="0.2">
      <c r="A14">
        <v>832</v>
      </c>
      <c r="B14">
        <v>0.09</v>
      </c>
      <c r="C14">
        <f>Table1[[#This Row],[Milliseconds]]/1000</f>
        <v>0.83199999999999996</v>
      </c>
      <c r="D14">
        <f>Table1[[#This Row],[mass (kg)]]*9.81</f>
        <v>0.88290000000000002</v>
      </c>
    </row>
    <row r="15" spans="1:4" x14ac:dyDescent="0.2">
      <c r="A15">
        <v>892</v>
      </c>
      <c r="B15">
        <v>0.03</v>
      </c>
      <c r="C15">
        <f>Table1[[#This Row],[Milliseconds]]/1000</f>
        <v>0.89200000000000002</v>
      </c>
      <c r="D15">
        <f>Table1[[#This Row],[mass (kg)]]*9.81</f>
        <v>0.29430000000000001</v>
      </c>
    </row>
    <row r="16" spans="1:4" x14ac:dyDescent="0.2">
      <c r="A16">
        <v>953</v>
      </c>
      <c r="B16">
        <v>0</v>
      </c>
      <c r="C16">
        <f>Table1[[#This Row],[Milliseconds]]/1000</f>
        <v>0.95299999999999996</v>
      </c>
      <c r="D16">
        <f>Table1[[#This Row],[mass (kg)]]*9.81</f>
        <v>0</v>
      </c>
    </row>
    <row r="17" spans="1:4" x14ac:dyDescent="0.2">
      <c r="A17">
        <v>1012</v>
      </c>
      <c r="B17">
        <v>-0.03</v>
      </c>
      <c r="C17">
        <f>Table1[[#This Row],[Milliseconds]]/1000</f>
        <v>1.012</v>
      </c>
      <c r="D17">
        <f>Table1[[#This Row],[mass (kg)]]*9.81</f>
        <v>-0.29430000000000001</v>
      </c>
    </row>
    <row r="18" spans="1:4" x14ac:dyDescent="0.2">
      <c r="A18">
        <v>1073</v>
      </c>
      <c r="B18">
        <v>-0.04</v>
      </c>
      <c r="C18">
        <f>Table1[[#This Row],[Milliseconds]]/1000</f>
        <v>1.073</v>
      </c>
      <c r="D18">
        <f>Table1[[#This Row],[mass (kg)]]*9.81</f>
        <v>-0.39240000000000003</v>
      </c>
    </row>
    <row r="19" spans="1:4" x14ac:dyDescent="0.2">
      <c r="A19">
        <v>1133</v>
      </c>
      <c r="B19">
        <v>-0.05</v>
      </c>
      <c r="C19">
        <f>Table1[[#This Row],[Milliseconds]]/1000</f>
        <v>1.133</v>
      </c>
      <c r="D19">
        <f>Table1[[#This Row],[mass (kg)]]*9.81</f>
        <v>-0.49050000000000005</v>
      </c>
    </row>
    <row r="20" spans="1:4" x14ac:dyDescent="0.2">
      <c r="A20">
        <v>1193</v>
      </c>
      <c r="B20">
        <v>-0.06</v>
      </c>
      <c r="C20">
        <f>Table1[[#This Row],[Milliseconds]]/1000</f>
        <v>1.1930000000000001</v>
      </c>
      <c r="D20">
        <f>Table1[[#This Row],[mass (kg)]]*9.81</f>
        <v>-0.58860000000000001</v>
      </c>
    </row>
    <row r="21" spans="1:4" x14ac:dyDescent="0.2">
      <c r="A21">
        <v>1253</v>
      </c>
      <c r="B21">
        <v>-0.09</v>
      </c>
      <c r="C21">
        <f>Table1[[#This Row],[Milliseconds]]/1000</f>
        <v>1.2529999999999999</v>
      </c>
      <c r="D21">
        <f>Table1[[#This Row],[mass (kg)]]*9.81</f>
        <v>-0.88290000000000002</v>
      </c>
    </row>
    <row r="22" spans="1:4" x14ac:dyDescent="0.2">
      <c r="A22">
        <v>1313</v>
      </c>
      <c r="B22">
        <v>-0.11</v>
      </c>
      <c r="C22">
        <f>Table1[[#This Row],[Milliseconds]]/1000</f>
        <v>1.3129999999999999</v>
      </c>
      <c r="D22">
        <f>Table1[[#This Row],[mass (kg)]]*9.81</f>
        <v>-1.0791000000000002</v>
      </c>
    </row>
    <row r="23" spans="1:4" x14ac:dyDescent="0.2">
      <c r="A23">
        <v>1374</v>
      </c>
      <c r="B23">
        <v>-0.11</v>
      </c>
      <c r="C23">
        <f>Table1[[#This Row],[Milliseconds]]/1000</f>
        <v>1.3740000000000001</v>
      </c>
      <c r="D23">
        <f>Table1[[#This Row],[mass (kg)]]*9.81</f>
        <v>-1.0791000000000002</v>
      </c>
    </row>
    <row r="24" spans="1:4" x14ac:dyDescent="0.2">
      <c r="A24">
        <v>1433</v>
      </c>
      <c r="B24">
        <v>-0.12</v>
      </c>
      <c r="C24">
        <f>Table1[[#This Row],[Milliseconds]]/1000</f>
        <v>1.4330000000000001</v>
      </c>
      <c r="D24">
        <f>Table1[[#This Row],[mass (kg)]]*9.81</f>
        <v>-1.1772</v>
      </c>
    </row>
    <row r="25" spans="1:4" x14ac:dyDescent="0.2">
      <c r="A25">
        <v>1494</v>
      </c>
      <c r="B25">
        <v>-0.11</v>
      </c>
      <c r="C25">
        <f>Table1[[#This Row],[Milliseconds]]/1000</f>
        <v>1.494</v>
      </c>
      <c r="D25">
        <f>Table1[[#This Row],[mass (kg)]]*9.81</f>
        <v>-1.0791000000000002</v>
      </c>
    </row>
    <row r="26" spans="1:4" x14ac:dyDescent="0.2">
      <c r="A26">
        <v>1554</v>
      </c>
      <c r="B26">
        <v>-0.05</v>
      </c>
      <c r="C26">
        <f>Table1[[#This Row],[Milliseconds]]/1000</f>
        <v>1.554</v>
      </c>
      <c r="D26">
        <f>Table1[[#This Row],[mass (kg)]]*9.81</f>
        <v>-0.49050000000000005</v>
      </c>
    </row>
    <row r="27" spans="1:4" x14ac:dyDescent="0.2">
      <c r="A27">
        <v>1613</v>
      </c>
      <c r="B27">
        <v>0.02</v>
      </c>
      <c r="C27">
        <f>Table1[[#This Row],[Milliseconds]]/1000</f>
        <v>1.613</v>
      </c>
      <c r="D27">
        <f>Table1[[#This Row],[mass (kg)]]*9.81</f>
        <v>0.19620000000000001</v>
      </c>
    </row>
    <row r="28" spans="1:4" x14ac:dyDescent="0.2">
      <c r="A28">
        <v>1674</v>
      </c>
      <c r="B28">
        <v>0.17</v>
      </c>
      <c r="C28">
        <f>Table1[[#This Row],[Milliseconds]]/1000</f>
        <v>1.6739999999999999</v>
      </c>
      <c r="D28">
        <f>Table1[[#This Row],[mass (kg)]]*9.81</f>
        <v>1.6677000000000002</v>
      </c>
    </row>
    <row r="29" spans="1:4" x14ac:dyDescent="0.2">
      <c r="A29">
        <v>1734</v>
      </c>
      <c r="B29">
        <v>0.24</v>
      </c>
      <c r="C29">
        <f>Table1[[#This Row],[Milliseconds]]/1000</f>
        <v>1.734</v>
      </c>
      <c r="D29">
        <f>Table1[[#This Row],[mass (kg)]]*9.81</f>
        <v>2.3544</v>
      </c>
    </row>
    <row r="30" spans="1:4" x14ac:dyDescent="0.2">
      <c r="A30">
        <v>1795</v>
      </c>
      <c r="B30">
        <v>0.24</v>
      </c>
      <c r="C30">
        <f>Table1[[#This Row],[Milliseconds]]/1000</f>
        <v>1.7949999999999999</v>
      </c>
      <c r="D30">
        <f>Table1[[#This Row],[mass (kg)]]*9.81</f>
        <v>2.3544</v>
      </c>
    </row>
    <row r="31" spans="1:4" x14ac:dyDescent="0.2">
      <c r="A31">
        <v>1854</v>
      </c>
      <c r="B31">
        <v>0.21</v>
      </c>
      <c r="C31">
        <f>Table1[[#This Row],[Milliseconds]]/1000</f>
        <v>1.8540000000000001</v>
      </c>
      <c r="D31">
        <f>Table1[[#This Row],[mass (kg)]]*9.81</f>
        <v>2.0600999999999998</v>
      </c>
    </row>
    <row r="32" spans="1:4" x14ac:dyDescent="0.2">
      <c r="A32">
        <v>1914</v>
      </c>
      <c r="B32">
        <v>0.19</v>
      </c>
      <c r="C32">
        <f>Table1[[#This Row],[Milliseconds]]/1000</f>
        <v>1.9139999999999999</v>
      </c>
      <c r="D32">
        <f>Table1[[#This Row],[mass (kg)]]*9.81</f>
        <v>1.8639000000000001</v>
      </c>
    </row>
    <row r="33" spans="1:4" x14ac:dyDescent="0.2">
      <c r="A33">
        <v>1975</v>
      </c>
      <c r="B33">
        <v>0.16</v>
      </c>
      <c r="C33">
        <f>Table1[[#This Row],[Milliseconds]]/1000</f>
        <v>1.9750000000000001</v>
      </c>
      <c r="D33">
        <f>Table1[[#This Row],[mass (kg)]]*9.81</f>
        <v>1.5696000000000001</v>
      </c>
    </row>
    <row r="34" spans="1:4" x14ac:dyDescent="0.2">
      <c r="A34">
        <v>2034</v>
      </c>
      <c r="B34">
        <v>0.14000000000000001</v>
      </c>
      <c r="C34">
        <f>Table1[[#This Row],[Milliseconds]]/1000</f>
        <v>2.0339999999999998</v>
      </c>
      <c r="D34">
        <f>Table1[[#This Row],[mass (kg)]]*9.81</f>
        <v>1.3734000000000002</v>
      </c>
    </row>
    <row r="35" spans="1:4" x14ac:dyDescent="0.2">
      <c r="A35">
        <v>2095</v>
      </c>
      <c r="B35">
        <v>0.13</v>
      </c>
      <c r="C35">
        <f>Table1[[#This Row],[Milliseconds]]/1000</f>
        <v>2.0950000000000002</v>
      </c>
      <c r="D35">
        <f>Table1[[#This Row],[mass (kg)]]*9.81</f>
        <v>1.2753000000000001</v>
      </c>
    </row>
    <row r="36" spans="1:4" x14ac:dyDescent="0.2">
      <c r="A36">
        <v>2155</v>
      </c>
      <c r="B36">
        <v>0.11</v>
      </c>
      <c r="C36">
        <f>Table1[[#This Row],[Milliseconds]]/1000</f>
        <v>2.1549999999999998</v>
      </c>
      <c r="D36">
        <f>Table1[[#This Row],[mass (kg)]]*9.81</f>
        <v>1.0791000000000002</v>
      </c>
    </row>
    <row r="37" spans="1:4" x14ac:dyDescent="0.2">
      <c r="A37">
        <v>2215</v>
      </c>
      <c r="B37">
        <v>0.09</v>
      </c>
      <c r="C37">
        <f>Table1[[#This Row],[Milliseconds]]/1000</f>
        <v>2.2149999999999999</v>
      </c>
      <c r="D37">
        <f>Table1[[#This Row],[mass (kg)]]*9.81</f>
        <v>0.88290000000000002</v>
      </c>
    </row>
    <row r="38" spans="1:4" x14ac:dyDescent="0.2">
      <c r="A38">
        <v>2275</v>
      </c>
      <c r="B38">
        <v>0.1</v>
      </c>
      <c r="C38">
        <f>Table1[[#This Row],[Milliseconds]]/1000</f>
        <v>2.2749999999999999</v>
      </c>
      <c r="D38">
        <f>Table1[[#This Row],[mass (kg)]]*9.81</f>
        <v>0.98100000000000009</v>
      </c>
    </row>
    <row r="39" spans="1:4" x14ac:dyDescent="0.2">
      <c r="A39">
        <v>2335</v>
      </c>
      <c r="B39">
        <v>0.09</v>
      </c>
      <c r="C39">
        <f>Table1[[#This Row],[Milliseconds]]/1000</f>
        <v>2.335</v>
      </c>
      <c r="D39">
        <f>Table1[[#This Row],[mass (kg)]]*9.81</f>
        <v>0.88290000000000002</v>
      </c>
    </row>
    <row r="40" spans="1:4" x14ac:dyDescent="0.2">
      <c r="A40">
        <v>2396</v>
      </c>
      <c r="B40">
        <v>0.09</v>
      </c>
      <c r="C40">
        <f>Table1[[#This Row],[Milliseconds]]/1000</f>
        <v>2.3959999999999999</v>
      </c>
      <c r="D40">
        <f>Table1[[#This Row],[mass (kg)]]*9.81</f>
        <v>0.88290000000000002</v>
      </c>
    </row>
    <row r="41" spans="1:4" x14ac:dyDescent="0.2">
      <c r="A41">
        <v>2455</v>
      </c>
      <c r="B41">
        <v>0.1</v>
      </c>
      <c r="C41">
        <f>Table1[[#This Row],[Milliseconds]]/1000</f>
        <v>2.4550000000000001</v>
      </c>
      <c r="D41">
        <f>Table1[[#This Row],[mass (kg)]]*9.81</f>
        <v>0.98100000000000009</v>
      </c>
    </row>
    <row r="42" spans="1:4" x14ac:dyDescent="0.2">
      <c r="A42">
        <v>2515</v>
      </c>
      <c r="B42">
        <v>0.12</v>
      </c>
      <c r="C42">
        <f>Table1[[#This Row],[Milliseconds]]/1000</f>
        <v>2.5150000000000001</v>
      </c>
      <c r="D42">
        <f>Table1[[#This Row],[mass (kg)]]*9.81</f>
        <v>1.1772</v>
      </c>
    </row>
    <row r="43" spans="1:4" x14ac:dyDescent="0.2">
      <c r="A43">
        <v>2576</v>
      </c>
      <c r="B43">
        <v>0.1</v>
      </c>
      <c r="C43">
        <f>Table1[[#This Row],[Milliseconds]]/1000</f>
        <v>2.5760000000000001</v>
      </c>
      <c r="D43">
        <f>Table1[[#This Row],[mass (kg)]]*9.81</f>
        <v>0.98100000000000009</v>
      </c>
    </row>
    <row r="44" spans="1:4" x14ac:dyDescent="0.2">
      <c r="A44">
        <v>2635</v>
      </c>
      <c r="B44">
        <v>0.12</v>
      </c>
      <c r="C44">
        <f>Table1[[#This Row],[Milliseconds]]/1000</f>
        <v>2.6349999999999998</v>
      </c>
      <c r="D44">
        <f>Table1[[#This Row],[mass (kg)]]*9.81</f>
        <v>1.1772</v>
      </c>
    </row>
    <row r="45" spans="1:4" x14ac:dyDescent="0.2">
      <c r="A45">
        <v>2696</v>
      </c>
      <c r="B45">
        <v>0.12</v>
      </c>
      <c r="C45">
        <f>Table1[[#This Row],[Milliseconds]]/1000</f>
        <v>2.6960000000000002</v>
      </c>
      <c r="D45">
        <f>Table1[[#This Row],[mass (kg)]]*9.81</f>
        <v>1.1772</v>
      </c>
    </row>
    <row r="46" spans="1:4" x14ac:dyDescent="0.2">
      <c r="A46">
        <v>2756</v>
      </c>
      <c r="B46">
        <v>0.13</v>
      </c>
      <c r="C46">
        <f>Table1[[#This Row],[Milliseconds]]/1000</f>
        <v>2.7559999999999998</v>
      </c>
      <c r="D46">
        <f>Table1[[#This Row],[mass (kg)]]*9.81</f>
        <v>1.2753000000000001</v>
      </c>
    </row>
    <row r="47" spans="1:4" x14ac:dyDescent="0.2">
      <c r="A47">
        <v>2817</v>
      </c>
      <c r="B47">
        <v>0.12</v>
      </c>
      <c r="C47">
        <f>Table1[[#This Row],[Milliseconds]]/1000</f>
        <v>2.8170000000000002</v>
      </c>
      <c r="D47">
        <f>Table1[[#This Row],[mass (kg)]]*9.81</f>
        <v>1.1772</v>
      </c>
    </row>
    <row r="48" spans="1:4" x14ac:dyDescent="0.2">
      <c r="A48">
        <v>2876</v>
      </c>
      <c r="B48">
        <v>0.11</v>
      </c>
      <c r="C48">
        <f>Table1[[#This Row],[Milliseconds]]/1000</f>
        <v>2.8759999999999999</v>
      </c>
      <c r="D48">
        <f>Table1[[#This Row],[mass (kg)]]*9.81</f>
        <v>1.0791000000000002</v>
      </c>
    </row>
    <row r="49" spans="1:4" x14ac:dyDescent="0.2">
      <c r="A49">
        <v>2936</v>
      </c>
      <c r="B49">
        <v>0.11</v>
      </c>
      <c r="C49">
        <f>Table1[[#This Row],[Milliseconds]]/1000</f>
        <v>2.9359999999999999</v>
      </c>
      <c r="D49">
        <f>Table1[[#This Row],[mass (kg)]]*9.81</f>
        <v>1.0791000000000002</v>
      </c>
    </row>
    <row r="50" spans="1:4" x14ac:dyDescent="0.2">
      <c r="A50">
        <v>2997</v>
      </c>
      <c r="B50">
        <v>0.1</v>
      </c>
      <c r="C50">
        <f>Table1[[#This Row],[Milliseconds]]/1000</f>
        <v>2.9969999999999999</v>
      </c>
      <c r="D50">
        <f>Table1[[#This Row],[mass (kg)]]*9.81</f>
        <v>0.98100000000000009</v>
      </c>
    </row>
    <row r="51" spans="1:4" x14ac:dyDescent="0.2">
      <c r="A51">
        <v>3056</v>
      </c>
      <c r="B51">
        <v>0.11</v>
      </c>
      <c r="C51">
        <f>Table1[[#This Row],[Milliseconds]]/1000</f>
        <v>3.056</v>
      </c>
      <c r="D51">
        <f>Table1[[#This Row],[mass (kg)]]*9.81</f>
        <v>1.0791000000000002</v>
      </c>
    </row>
    <row r="52" spans="1:4" x14ac:dyDescent="0.2">
      <c r="A52">
        <v>3117</v>
      </c>
      <c r="B52">
        <v>0.09</v>
      </c>
      <c r="C52">
        <f>Table1[[#This Row],[Milliseconds]]/1000</f>
        <v>3.117</v>
      </c>
      <c r="D52">
        <f>Table1[[#This Row],[mass (kg)]]*9.81</f>
        <v>0.88290000000000002</v>
      </c>
    </row>
    <row r="53" spans="1:4" x14ac:dyDescent="0.2">
      <c r="A53">
        <v>3177</v>
      </c>
      <c r="B53">
        <v>0.09</v>
      </c>
      <c r="C53">
        <f>Table1[[#This Row],[Milliseconds]]/1000</f>
        <v>3.177</v>
      </c>
      <c r="D53">
        <f>Table1[[#This Row],[mass (kg)]]*9.81</f>
        <v>0.88290000000000002</v>
      </c>
    </row>
    <row r="54" spans="1:4" x14ac:dyDescent="0.2">
      <c r="A54">
        <v>3237</v>
      </c>
      <c r="B54">
        <v>7.0000000000000007E-2</v>
      </c>
      <c r="C54">
        <f>Table1[[#This Row],[Milliseconds]]/1000</f>
        <v>3.2370000000000001</v>
      </c>
      <c r="D54">
        <f>Table1[[#This Row],[mass (kg)]]*9.81</f>
        <v>0.68670000000000009</v>
      </c>
    </row>
    <row r="55" spans="1:4" x14ac:dyDescent="0.2">
      <c r="A55">
        <v>3297</v>
      </c>
      <c r="B55">
        <v>0.09</v>
      </c>
      <c r="C55">
        <f>Table1[[#This Row],[Milliseconds]]/1000</f>
        <v>3.2970000000000002</v>
      </c>
      <c r="D55">
        <f>Table1[[#This Row],[mass (kg)]]*9.81</f>
        <v>0.88290000000000002</v>
      </c>
    </row>
    <row r="56" spans="1:4" x14ac:dyDescent="0.2">
      <c r="A56">
        <v>3357</v>
      </c>
      <c r="B56">
        <v>0.09</v>
      </c>
      <c r="C56">
        <f>Table1[[#This Row],[Milliseconds]]/1000</f>
        <v>3.3570000000000002</v>
      </c>
      <c r="D56">
        <f>Table1[[#This Row],[mass (kg)]]*9.81</f>
        <v>0.88290000000000002</v>
      </c>
    </row>
    <row r="57" spans="1:4" x14ac:dyDescent="0.2">
      <c r="A57">
        <v>3418</v>
      </c>
      <c r="B57">
        <v>0.09</v>
      </c>
      <c r="C57">
        <f>Table1[[#This Row],[Milliseconds]]/1000</f>
        <v>3.4180000000000001</v>
      </c>
      <c r="D57">
        <f>Table1[[#This Row],[mass (kg)]]*9.81</f>
        <v>0.88290000000000002</v>
      </c>
    </row>
    <row r="58" spans="1:4" x14ac:dyDescent="0.2">
      <c r="A58">
        <v>3477</v>
      </c>
      <c r="B58">
        <v>0.08</v>
      </c>
      <c r="C58">
        <f>Table1[[#This Row],[Milliseconds]]/1000</f>
        <v>3.4769999999999999</v>
      </c>
      <c r="D58">
        <f>Table1[[#This Row],[mass (kg)]]*9.81</f>
        <v>0.78480000000000005</v>
      </c>
    </row>
    <row r="59" spans="1:4" x14ac:dyDescent="0.2">
      <c r="A59">
        <v>3537</v>
      </c>
      <c r="B59">
        <v>0.1</v>
      </c>
      <c r="C59">
        <f>Table1[[#This Row],[Milliseconds]]/1000</f>
        <v>3.5369999999999999</v>
      </c>
      <c r="D59">
        <f>Table1[[#This Row],[mass (kg)]]*9.81</f>
        <v>0.98100000000000009</v>
      </c>
    </row>
    <row r="60" spans="1:4" x14ac:dyDescent="0.2">
      <c r="A60">
        <v>3598</v>
      </c>
      <c r="B60">
        <v>0.09</v>
      </c>
      <c r="C60">
        <f>Table1[[#This Row],[Milliseconds]]/1000</f>
        <v>3.5979999999999999</v>
      </c>
      <c r="D60">
        <f>Table1[[#This Row],[mass (kg)]]*9.81</f>
        <v>0.88290000000000002</v>
      </c>
    </row>
    <row r="61" spans="1:4" x14ac:dyDescent="0.2">
      <c r="A61">
        <v>3657</v>
      </c>
      <c r="B61">
        <v>0.1</v>
      </c>
      <c r="C61">
        <f>Table1[[#This Row],[Milliseconds]]/1000</f>
        <v>3.657</v>
      </c>
      <c r="D61">
        <f>Table1[[#This Row],[mass (kg)]]*9.81</f>
        <v>0.98100000000000009</v>
      </c>
    </row>
    <row r="62" spans="1:4" x14ac:dyDescent="0.2">
      <c r="A62">
        <v>3718</v>
      </c>
      <c r="B62">
        <v>0.09</v>
      </c>
      <c r="C62">
        <f>Table1[[#This Row],[Milliseconds]]/1000</f>
        <v>3.718</v>
      </c>
      <c r="D62">
        <f>Table1[[#This Row],[mass (kg)]]*9.81</f>
        <v>0.88290000000000002</v>
      </c>
    </row>
    <row r="63" spans="1:4" x14ac:dyDescent="0.2">
      <c r="A63">
        <v>3778</v>
      </c>
      <c r="B63">
        <v>0.09</v>
      </c>
      <c r="C63">
        <f>Table1[[#This Row],[Milliseconds]]/1000</f>
        <v>3.778</v>
      </c>
      <c r="D63">
        <f>Table1[[#This Row],[mass (kg)]]*9.81</f>
        <v>0.88290000000000002</v>
      </c>
    </row>
    <row r="64" spans="1:4" x14ac:dyDescent="0.2">
      <c r="A64">
        <v>3838</v>
      </c>
      <c r="B64">
        <v>0.11</v>
      </c>
      <c r="C64">
        <f>Table1[[#This Row],[Milliseconds]]/1000</f>
        <v>3.8380000000000001</v>
      </c>
      <c r="D64">
        <f>Table1[[#This Row],[mass (kg)]]*9.81</f>
        <v>1.0791000000000002</v>
      </c>
    </row>
    <row r="65" spans="1:4" x14ac:dyDescent="0.2">
      <c r="A65">
        <v>3898</v>
      </c>
      <c r="B65">
        <v>0.08</v>
      </c>
      <c r="C65">
        <f>Table1[[#This Row],[Milliseconds]]/1000</f>
        <v>3.8980000000000001</v>
      </c>
      <c r="D65">
        <f>Table1[[#This Row],[mass (kg)]]*9.81</f>
        <v>0.78480000000000005</v>
      </c>
    </row>
    <row r="66" spans="1:4" x14ac:dyDescent="0.2">
      <c r="A66">
        <v>3958</v>
      </c>
      <c r="B66">
        <v>0.1</v>
      </c>
      <c r="C66">
        <f>Table1[[#This Row],[Milliseconds]]/1000</f>
        <v>3.9580000000000002</v>
      </c>
      <c r="D66">
        <f>Table1[[#This Row],[mass (kg)]]*9.81</f>
        <v>0.98100000000000009</v>
      </c>
    </row>
    <row r="67" spans="1:4" x14ac:dyDescent="0.2">
      <c r="A67">
        <v>4019</v>
      </c>
      <c r="B67">
        <v>0.1</v>
      </c>
      <c r="C67">
        <f>Table1[[#This Row],[Milliseconds]]/1000</f>
        <v>4.0190000000000001</v>
      </c>
      <c r="D67">
        <f>Table1[[#This Row],[mass (kg)]]*9.81</f>
        <v>0.98100000000000009</v>
      </c>
    </row>
    <row r="68" spans="1:4" x14ac:dyDescent="0.2">
      <c r="A68">
        <v>4078</v>
      </c>
      <c r="B68">
        <v>0.09</v>
      </c>
      <c r="C68">
        <f>Table1[[#This Row],[Milliseconds]]/1000</f>
        <v>4.0780000000000003</v>
      </c>
      <c r="D68">
        <f>Table1[[#This Row],[mass (kg)]]*9.81</f>
        <v>0.88290000000000002</v>
      </c>
    </row>
    <row r="69" spans="1:4" x14ac:dyDescent="0.2">
      <c r="A69">
        <v>4139</v>
      </c>
      <c r="B69">
        <v>0.09</v>
      </c>
      <c r="C69">
        <f>Table1[[#This Row],[Milliseconds]]/1000</f>
        <v>4.1390000000000002</v>
      </c>
      <c r="D69">
        <f>Table1[[#This Row],[mass (kg)]]*9.81</f>
        <v>0.88290000000000002</v>
      </c>
    </row>
    <row r="70" spans="1:4" x14ac:dyDescent="0.2">
      <c r="A70">
        <v>4199</v>
      </c>
      <c r="B70">
        <v>0.08</v>
      </c>
      <c r="C70">
        <f>Table1[[#This Row],[Milliseconds]]/1000</f>
        <v>4.1989999999999998</v>
      </c>
      <c r="D70">
        <f>Table1[[#This Row],[mass (kg)]]*9.81</f>
        <v>0.78480000000000005</v>
      </c>
    </row>
    <row r="71" spans="1:4" x14ac:dyDescent="0.2">
      <c r="A71">
        <v>4259</v>
      </c>
      <c r="B71">
        <v>0.1</v>
      </c>
      <c r="C71">
        <f>Table1[[#This Row],[Milliseconds]]/1000</f>
        <v>4.2590000000000003</v>
      </c>
      <c r="D71">
        <f>Table1[[#This Row],[mass (kg)]]*9.81</f>
        <v>0.98100000000000009</v>
      </c>
    </row>
    <row r="72" spans="1:4" x14ac:dyDescent="0.2">
      <c r="A72">
        <v>4319</v>
      </c>
      <c r="B72">
        <v>0.11</v>
      </c>
      <c r="C72">
        <f>Table1[[#This Row],[Milliseconds]]/1000</f>
        <v>4.319</v>
      </c>
      <c r="D72">
        <f>Table1[[#This Row],[mass (kg)]]*9.81</f>
        <v>1.0791000000000002</v>
      </c>
    </row>
    <row r="73" spans="1:4" x14ac:dyDescent="0.2">
      <c r="A73">
        <v>4379</v>
      </c>
      <c r="B73">
        <v>7.0000000000000007E-2</v>
      </c>
      <c r="C73">
        <f>Table1[[#This Row],[Milliseconds]]/1000</f>
        <v>4.3789999999999996</v>
      </c>
      <c r="D73">
        <f>Table1[[#This Row],[mass (kg)]]*9.81</f>
        <v>0.68670000000000009</v>
      </c>
    </row>
    <row r="74" spans="1:4" x14ac:dyDescent="0.2">
      <c r="A74">
        <v>4440</v>
      </c>
      <c r="B74">
        <v>0.09</v>
      </c>
      <c r="C74">
        <f>Table1[[#This Row],[Milliseconds]]/1000</f>
        <v>4.4400000000000004</v>
      </c>
      <c r="D74">
        <f>Table1[[#This Row],[mass (kg)]]*9.81</f>
        <v>0.88290000000000002</v>
      </c>
    </row>
    <row r="75" spans="1:4" x14ac:dyDescent="0.2">
      <c r="A75">
        <v>4499</v>
      </c>
      <c r="B75">
        <v>7.0000000000000007E-2</v>
      </c>
      <c r="C75">
        <f>Table1[[#This Row],[Milliseconds]]/1000</f>
        <v>4.4989999999999997</v>
      </c>
      <c r="D75">
        <f>Table1[[#This Row],[mass (kg)]]*9.81</f>
        <v>0.68670000000000009</v>
      </c>
    </row>
    <row r="76" spans="1:4" x14ac:dyDescent="0.2">
      <c r="A76">
        <v>4559</v>
      </c>
      <c r="B76">
        <v>0.08</v>
      </c>
      <c r="C76">
        <f>Table1[[#This Row],[Milliseconds]]/1000</f>
        <v>4.5590000000000002</v>
      </c>
      <c r="D76">
        <f>Table1[[#This Row],[mass (kg)]]*9.81</f>
        <v>0.78480000000000005</v>
      </c>
    </row>
    <row r="77" spans="1:4" x14ac:dyDescent="0.2">
      <c r="A77">
        <v>4620</v>
      </c>
      <c r="B77">
        <v>0.09</v>
      </c>
      <c r="C77">
        <f>Table1[[#This Row],[Milliseconds]]/1000</f>
        <v>4.62</v>
      </c>
      <c r="D77">
        <f>Table1[[#This Row],[mass (kg)]]*9.81</f>
        <v>0.88290000000000002</v>
      </c>
    </row>
    <row r="78" spans="1:4" x14ac:dyDescent="0.2">
      <c r="A78">
        <v>4679</v>
      </c>
      <c r="B78">
        <v>0.1</v>
      </c>
      <c r="C78">
        <f>Table1[[#This Row],[Milliseconds]]/1000</f>
        <v>4.6790000000000003</v>
      </c>
      <c r="D78">
        <f>Table1[[#This Row],[mass (kg)]]*9.81</f>
        <v>0.98100000000000009</v>
      </c>
    </row>
    <row r="79" spans="1:4" x14ac:dyDescent="0.2">
      <c r="A79">
        <v>4740</v>
      </c>
      <c r="B79">
        <v>0.08</v>
      </c>
      <c r="C79">
        <f>Table1[[#This Row],[Milliseconds]]/1000</f>
        <v>4.74</v>
      </c>
      <c r="D79">
        <f>Table1[[#This Row],[mass (kg)]]*9.81</f>
        <v>0.78480000000000005</v>
      </c>
    </row>
    <row r="80" spans="1:4" x14ac:dyDescent="0.2">
      <c r="A80">
        <v>4800</v>
      </c>
      <c r="B80">
        <v>0.1</v>
      </c>
      <c r="C80">
        <f>Table1[[#This Row],[Milliseconds]]/1000</f>
        <v>4.8</v>
      </c>
      <c r="D80">
        <f>Table1[[#This Row],[mass (kg)]]*9.81</f>
        <v>0.98100000000000009</v>
      </c>
    </row>
    <row r="81" spans="1:4" x14ac:dyDescent="0.2">
      <c r="A81">
        <v>4860</v>
      </c>
      <c r="B81">
        <v>0.1</v>
      </c>
      <c r="C81">
        <f>Table1[[#This Row],[Milliseconds]]/1000</f>
        <v>4.8600000000000003</v>
      </c>
      <c r="D81">
        <f>Table1[[#This Row],[mass (kg)]]*9.81</f>
        <v>0.98100000000000009</v>
      </c>
    </row>
    <row r="82" spans="1:4" x14ac:dyDescent="0.2">
      <c r="A82">
        <v>4920</v>
      </c>
      <c r="B82">
        <v>0.09</v>
      </c>
      <c r="C82">
        <f>Table1[[#This Row],[Milliseconds]]/1000</f>
        <v>4.92</v>
      </c>
      <c r="D82">
        <f>Table1[[#This Row],[mass (kg)]]*9.81</f>
        <v>0.88290000000000002</v>
      </c>
    </row>
    <row r="83" spans="1:4" x14ac:dyDescent="0.2">
      <c r="A83">
        <v>4980</v>
      </c>
      <c r="B83">
        <v>0.08</v>
      </c>
      <c r="C83">
        <f>Table1[[#This Row],[Milliseconds]]/1000</f>
        <v>4.9800000000000004</v>
      </c>
      <c r="D83">
        <f>Table1[[#This Row],[mass (kg)]]*9.81</f>
        <v>0.78480000000000005</v>
      </c>
    </row>
    <row r="84" spans="1:4" x14ac:dyDescent="0.2">
      <c r="A84">
        <v>5041</v>
      </c>
      <c r="B84">
        <v>0.09</v>
      </c>
      <c r="C84">
        <f>Table1[[#This Row],[Milliseconds]]/1000</f>
        <v>5.0410000000000004</v>
      </c>
      <c r="D84">
        <f>Table1[[#This Row],[mass (kg)]]*9.81</f>
        <v>0.88290000000000002</v>
      </c>
    </row>
    <row r="85" spans="1:4" x14ac:dyDescent="0.2">
      <c r="A85">
        <v>5100</v>
      </c>
      <c r="B85">
        <v>0.08</v>
      </c>
      <c r="C85">
        <f>Table1[[#This Row],[Milliseconds]]/1000</f>
        <v>5.0999999999999996</v>
      </c>
      <c r="D85">
        <f>Table1[[#This Row],[mass (kg)]]*9.81</f>
        <v>0.78480000000000005</v>
      </c>
    </row>
    <row r="86" spans="1:4" x14ac:dyDescent="0.2">
      <c r="A86">
        <v>5160</v>
      </c>
      <c r="B86">
        <v>0.06</v>
      </c>
      <c r="C86">
        <f>Table1[[#This Row],[Milliseconds]]/1000</f>
        <v>5.16</v>
      </c>
      <c r="D86">
        <f>Table1[[#This Row],[mass (kg)]]*9.81</f>
        <v>0.58860000000000001</v>
      </c>
    </row>
    <row r="87" spans="1:4" x14ac:dyDescent="0.2">
      <c r="A87">
        <v>5221</v>
      </c>
      <c r="B87">
        <v>0.1</v>
      </c>
      <c r="C87">
        <f>Table1[[#This Row],[Milliseconds]]/1000</f>
        <v>5.2210000000000001</v>
      </c>
      <c r="D87">
        <f>Table1[[#This Row],[mass (kg)]]*9.81</f>
        <v>0.98100000000000009</v>
      </c>
    </row>
    <row r="88" spans="1:4" x14ac:dyDescent="0.2">
      <c r="A88">
        <v>5281</v>
      </c>
      <c r="B88">
        <v>0.08</v>
      </c>
      <c r="C88">
        <f>Table1[[#This Row],[Milliseconds]]/1000</f>
        <v>5.2809999999999997</v>
      </c>
      <c r="D88">
        <f>Table1[[#This Row],[mass (kg)]]*9.81</f>
        <v>0.78480000000000005</v>
      </c>
    </row>
    <row r="89" spans="1:4" x14ac:dyDescent="0.2">
      <c r="A89">
        <v>5341</v>
      </c>
      <c r="B89">
        <v>0.08</v>
      </c>
      <c r="C89">
        <f>Table1[[#This Row],[Milliseconds]]/1000</f>
        <v>5.3410000000000002</v>
      </c>
      <c r="D89">
        <f>Table1[[#This Row],[mass (kg)]]*9.81</f>
        <v>0.78480000000000005</v>
      </c>
    </row>
    <row r="90" spans="1:4" x14ac:dyDescent="0.2">
      <c r="A90">
        <v>5401</v>
      </c>
      <c r="B90">
        <v>0.09</v>
      </c>
      <c r="C90">
        <f>Table1[[#This Row],[Milliseconds]]/1000</f>
        <v>5.4009999999999998</v>
      </c>
      <c r="D90">
        <f>Table1[[#This Row],[mass (kg)]]*9.81</f>
        <v>0.88290000000000002</v>
      </c>
    </row>
    <row r="91" spans="1:4" x14ac:dyDescent="0.2">
      <c r="A91">
        <v>5462</v>
      </c>
      <c r="B91">
        <v>0.08</v>
      </c>
      <c r="C91">
        <f>Table1[[#This Row],[Milliseconds]]/1000</f>
        <v>5.4619999999999997</v>
      </c>
      <c r="D91">
        <f>Table1[[#This Row],[mass (kg)]]*9.81</f>
        <v>0.78480000000000005</v>
      </c>
    </row>
    <row r="92" spans="1:4" x14ac:dyDescent="0.2">
      <c r="A92">
        <v>5521</v>
      </c>
      <c r="B92">
        <v>0.1</v>
      </c>
      <c r="C92">
        <f>Table1[[#This Row],[Milliseconds]]/1000</f>
        <v>5.5209999999999999</v>
      </c>
      <c r="D92">
        <f>Table1[[#This Row],[mass (kg)]]*9.81</f>
        <v>0.98100000000000009</v>
      </c>
    </row>
    <row r="93" spans="1:4" x14ac:dyDescent="0.2">
      <c r="A93">
        <v>5581</v>
      </c>
      <c r="B93">
        <v>7.0000000000000007E-2</v>
      </c>
      <c r="C93">
        <f>Table1[[#This Row],[Milliseconds]]/1000</f>
        <v>5.5810000000000004</v>
      </c>
      <c r="D93">
        <f>Table1[[#This Row],[mass (kg)]]*9.81</f>
        <v>0.68670000000000009</v>
      </c>
    </row>
    <row r="94" spans="1:4" x14ac:dyDescent="0.2">
      <c r="A94">
        <v>5642</v>
      </c>
      <c r="B94">
        <v>0.09</v>
      </c>
      <c r="C94">
        <f>Table1[[#This Row],[Milliseconds]]/1000</f>
        <v>5.6420000000000003</v>
      </c>
      <c r="D94">
        <f>Table1[[#This Row],[mass (kg)]]*9.81</f>
        <v>0.88290000000000002</v>
      </c>
    </row>
    <row r="95" spans="1:4" x14ac:dyDescent="0.2">
      <c r="A95">
        <v>5701</v>
      </c>
      <c r="B95">
        <v>7.0000000000000007E-2</v>
      </c>
      <c r="C95">
        <f>Table1[[#This Row],[Milliseconds]]/1000</f>
        <v>5.7009999999999996</v>
      </c>
      <c r="D95">
        <f>Table1[[#This Row],[mass (kg)]]*9.81</f>
        <v>0.68670000000000009</v>
      </c>
    </row>
    <row r="96" spans="1:4" x14ac:dyDescent="0.2">
      <c r="A96">
        <v>5762</v>
      </c>
      <c r="B96">
        <v>0.1</v>
      </c>
      <c r="C96">
        <f>Table1[[#This Row],[Milliseconds]]/1000</f>
        <v>5.7619999999999996</v>
      </c>
      <c r="D96">
        <f>Table1[[#This Row],[mass (kg)]]*9.81</f>
        <v>0.98100000000000009</v>
      </c>
    </row>
    <row r="97" spans="1:4" x14ac:dyDescent="0.2">
      <c r="A97">
        <v>5822</v>
      </c>
      <c r="B97">
        <v>7.0000000000000007E-2</v>
      </c>
      <c r="C97">
        <f>Table1[[#This Row],[Milliseconds]]/1000</f>
        <v>5.8220000000000001</v>
      </c>
      <c r="D97">
        <f>Table1[[#This Row],[mass (kg)]]*9.81</f>
        <v>0.68670000000000009</v>
      </c>
    </row>
    <row r="98" spans="1:4" x14ac:dyDescent="0.2">
      <c r="A98">
        <v>5882</v>
      </c>
      <c r="B98">
        <v>7.0000000000000007E-2</v>
      </c>
      <c r="C98">
        <f>Table1[[#This Row],[Milliseconds]]/1000</f>
        <v>5.8819999999999997</v>
      </c>
      <c r="D98">
        <f>Table1[[#This Row],[mass (kg)]]*9.81</f>
        <v>0.68670000000000009</v>
      </c>
    </row>
    <row r="99" spans="1:4" x14ac:dyDescent="0.2">
      <c r="A99">
        <v>5942</v>
      </c>
      <c r="B99">
        <v>0.08</v>
      </c>
      <c r="C99">
        <f>Table1[[#This Row],[Milliseconds]]/1000</f>
        <v>5.9420000000000002</v>
      </c>
      <c r="D99">
        <f>Table1[[#This Row],[mass (kg)]]*9.81</f>
        <v>0.78480000000000005</v>
      </c>
    </row>
    <row r="100" spans="1:4" x14ac:dyDescent="0.2">
      <c r="A100">
        <v>6002</v>
      </c>
      <c r="B100">
        <v>0.09</v>
      </c>
      <c r="C100">
        <f>Table1[[#This Row],[Milliseconds]]/1000</f>
        <v>6.0019999999999998</v>
      </c>
      <c r="D100">
        <f>Table1[[#This Row],[mass (kg)]]*9.81</f>
        <v>0.88290000000000002</v>
      </c>
    </row>
    <row r="101" spans="1:4" x14ac:dyDescent="0.2">
      <c r="A101">
        <v>6063</v>
      </c>
      <c r="B101">
        <v>0.09</v>
      </c>
      <c r="C101">
        <f>Table1[[#This Row],[Milliseconds]]/1000</f>
        <v>6.0629999999999997</v>
      </c>
      <c r="D101">
        <f>Table1[[#This Row],[mass (kg)]]*9.81</f>
        <v>0.88290000000000002</v>
      </c>
    </row>
    <row r="102" spans="1:4" x14ac:dyDescent="0.2">
      <c r="A102">
        <v>6122</v>
      </c>
      <c r="B102">
        <v>0.09</v>
      </c>
      <c r="C102">
        <f>Table1[[#This Row],[Milliseconds]]/1000</f>
        <v>6.1219999999999999</v>
      </c>
      <c r="D102">
        <f>Table1[[#This Row],[mass (kg)]]*9.81</f>
        <v>0.88290000000000002</v>
      </c>
    </row>
    <row r="103" spans="1:4" x14ac:dyDescent="0.2">
      <c r="A103">
        <v>6182</v>
      </c>
      <c r="B103">
        <v>0.09</v>
      </c>
      <c r="C103">
        <f>Table1[[#This Row],[Milliseconds]]/1000</f>
        <v>6.1820000000000004</v>
      </c>
      <c r="D103">
        <f>Table1[[#This Row],[mass (kg)]]*9.81</f>
        <v>0.88290000000000002</v>
      </c>
    </row>
    <row r="104" spans="1:4" x14ac:dyDescent="0.2">
      <c r="A104">
        <v>6243</v>
      </c>
      <c r="B104">
        <v>0.08</v>
      </c>
      <c r="C104">
        <f>Table1[[#This Row],[Milliseconds]]/1000</f>
        <v>6.2430000000000003</v>
      </c>
      <c r="D104">
        <f>Table1[[#This Row],[mass (kg)]]*9.81</f>
        <v>0.78480000000000005</v>
      </c>
    </row>
    <row r="105" spans="1:4" x14ac:dyDescent="0.2">
      <c r="A105">
        <v>6303</v>
      </c>
      <c r="B105">
        <v>0.06</v>
      </c>
      <c r="C105">
        <f>Table1[[#This Row],[Milliseconds]]/1000</f>
        <v>6.3029999999999999</v>
      </c>
      <c r="D105">
        <f>Table1[[#This Row],[mass (kg)]]*9.81</f>
        <v>0.58860000000000001</v>
      </c>
    </row>
    <row r="106" spans="1:4" x14ac:dyDescent="0.2">
      <c r="A106">
        <v>6363</v>
      </c>
      <c r="B106">
        <v>7.0000000000000007E-2</v>
      </c>
      <c r="C106">
        <f>Table1[[#This Row],[Milliseconds]]/1000</f>
        <v>6.3630000000000004</v>
      </c>
      <c r="D106">
        <f>Table1[[#This Row],[mass (kg)]]*9.81</f>
        <v>0.68670000000000009</v>
      </c>
    </row>
    <row r="107" spans="1:4" x14ac:dyDescent="0.2">
      <c r="A107">
        <v>6423</v>
      </c>
      <c r="B107">
        <v>0.06</v>
      </c>
      <c r="C107">
        <f>Table1[[#This Row],[Milliseconds]]/1000</f>
        <v>6.423</v>
      </c>
      <c r="D107">
        <f>Table1[[#This Row],[mass (kg)]]*9.81</f>
        <v>0.58860000000000001</v>
      </c>
    </row>
    <row r="108" spans="1:4" x14ac:dyDescent="0.2">
      <c r="A108">
        <v>6483</v>
      </c>
      <c r="B108">
        <v>0.08</v>
      </c>
      <c r="C108">
        <f>Table1[[#This Row],[Milliseconds]]/1000</f>
        <v>6.4829999999999997</v>
      </c>
      <c r="D108">
        <f>Table1[[#This Row],[mass (kg)]]*9.81</f>
        <v>0.78480000000000005</v>
      </c>
    </row>
    <row r="109" spans="1:4" x14ac:dyDescent="0.2">
      <c r="A109">
        <v>6543</v>
      </c>
      <c r="B109">
        <v>0.09</v>
      </c>
      <c r="C109">
        <f>Table1[[#This Row],[Milliseconds]]/1000</f>
        <v>6.5430000000000001</v>
      </c>
      <c r="D109">
        <f>Table1[[#This Row],[mass (kg)]]*9.81</f>
        <v>0.88290000000000002</v>
      </c>
    </row>
    <row r="110" spans="1:4" x14ac:dyDescent="0.2">
      <c r="A110">
        <v>6603</v>
      </c>
      <c r="B110">
        <v>0.09</v>
      </c>
      <c r="C110">
        <f>Table1[[#This Row],[Milliseconds]]/1000</f>
        <v>6.6029999999999998</v>
      </c>
      <c r="D110">
        <f>Table1[[#This Row],[mass (kg)]]*9.81</f>
        <v>0.88290000000000002</v>
      </c>
    </row>
    <row r="111" spans="1:4" x14ac:dyDescent="0.2">
      <c r="A111">
        <v>6664</v>
      </c>
      <c r="B111">
        <v>0.08</v>
      </c>
      <c r="C111">
        <f>Table1[[#This Row],[Milliseconds]]/1000</f>
        <v>6.6639999999999997</v>
      </c>
      <c r="D111">
        <f>Table1[[#This Row],[mass (kg)]]*9.81</f>
        <v>0.78480000000000005</v>
      </c>
    </row>
    <row r="112" spans="1:4" x14ac:dyDescent="0.2">
      <c r="A112">
        <v>6723</v>
      </c>
      <c r="B112">
        <v>0.09</v>
      </c>
      <c r="C112">
        <f>Table1[[#This Row],[Milliseconds]]/1000</f>
        <v>6.7229999999999999</v>
      </c>
      <c r="D112">
        <f>Table1[[#This Row],[mass (kg)]]*9.81</f>
        <v>0.88290000000000002</v>
      </c>
    </row>
    <row r="113" spans="1:4" x14ac:dyDescent="0.2">
      <c r="A113">
        <v>6784</v>
      </c>
      <c r="B113">
        <v>0.09</v>
      </c>
      <c r="C113">
        <f>Table1[[#This Row],[Milliseconds]]/1000</f>
        <v>6.7839999999999998</v>
      </c>
      <c r="D113">
        <f>Table1[[#This Row],[mass (kg)]]*9.81</f>
        <v>0.88290000000000002</v>
      </c>
    </row>
    <row r="114" spans="1:4" x14ac:dyDescent="0.2">
      <c r="A114">
        <v>6844</v>
      </c>
      <c r="B114">
        <v>7.0000000000000007E-2</v>
      </c>
      <c r="C114">
        <f>Table1[[#This Row],[Milliseconds]]/1000</f>
        <v>6.8440000000000003</v>
      </c>
      <c r="D114">
        <f>Table1[[#This Row],[mass (kg)]]*9.81</f>
        <v>0.68670000000000009</v>
      </c>
    </row>
    <row r="115" spans="1:4" x14ac:dyDescent="0.2">
      <c r="A115">
        <v>6904</v>
      </c>
      <c r="B115">
        <v>7.0000000000000007E-2</v>
      </c>
      <c r="C115">
        <f>Table1[[#This Row],[Milliseconds]]/1000</f>
        <v>6.9039999999999999</v>
      </c>
      <c r="D115">
        <f>Table1[[#This Row],[mass (kg)]]*9.81</f>
        <v>0.68670000000000009</v>
      </c>
    </row>
    <row r="116" spans="1:4" x14ac:dyDescent="0.2">
      <c r="A116">
        <v>6964</v>
      </c>
      <c r="B116">
        <v>7.0000000000000007E-2</v>
      </c>
      <c r="C116">
        <f>Table1[[#This Row],[Milliseconds]]/1000</f>
        <v>6.9640000000000004</v>
      </c>
      <c r="D116">
        <f>Table1[[#This Row],[mass (kg)]]*9.81</f>
        <v>0.68670000000000009</v>
      </c>
    </row>
    <row r="117" spans="1:4" x14ac:dyDescent="0.2">
      <c r="A117">
        <v>7024</v>
      </c>
      <c r="B117">
        <v>0.08</v>
      </c>
      <c r="C117">
        <f>Table1[[#This Row],[Milliseconds]]/1000</f>
        <v>7.024</v>
      </c>
      <c r="D117">
        <f>Table1[[#This Row],[mass (kg)]]*9.81</f>
        <v>0.78480000000000005</v>
      </c>
    </row>
    <row r="118" spans="1:4" x14ac:dyDescent="0.2">
      <c r="A118">
        <v>7085</v>
      </c>
      <c r="B118">
        <v>0.06</v>
      </c>
      <c r="C118">
        <f>Table1[[#This Row],[Milliseconds]]/1000</f>
        <v>7.085</v>
      </c>
      <c r="D118">
        <f>Table1[[#This Row],[mass (kg)]]*9.81</f>
        <v>0.58860000000000001</v>
      </c>
    </row>
    <row r="119" spans="1:4" x14ac:dyDescent="0.2">
      <c r="A119">
        <v>7144</v>
      </c>
      <c r="B119">
        <v>7.0000000000000007E-2</v>
      </c>
      <c r="C119">
        <f>Table1[[#This Row],[Milliseconds]]/1000</f>
        <v>7.1440000000000001</v>
      </c>
      <c r="D119">
        <f>Table1[[#This Row],[mass (kg)]]*9.81</f>
        <v>0.68670000000000009</v>
      </c>
    </row>
    <row r="120" spans="1:4" x14ac:dyDescent="0.2">
      <c r="A120">
        <v>7204</v>
      </c>
      <c r="B120">
        <v>0.08</v>
      </c>
      <c r="C120">
        <f>Table1[[#This Row],[Milliseconds]]/1000</f>
        <v>7.2039999999999997</v>
      </c>
      <c r="D120">
        <f>Table1[[#This Row],[mass (kg)]]*9.81</f>
        <v>0.78480000000000005</v>
      </c>
    </row>
    <row r="121" spans="1:4" x14ac:dyDescent="0.2">
      <c r="A121">
        <v>7265</v>
      </c>
      <c r="B121">
        <v>7.0000000000000007E-2</v>
      </c>
      <c r="C121">
        <f>Table1[[#This Row],[Milliseconds]]/1000</f>
        <v>7.2649999999999997</v>
      </c>
      <c r="D121">
        <f>Table1[[#This Row],[mass (kg)]]*9.81</f>
        <v>0.68670000000000009</v>
      </c>
    </row>
    <row r="122" spans="1:4" x14ac:dyDescent="0.2">
      <c r="A122">
        <v>7324</v>
      </c>
      <c r="B122">
        <v>0.08</v>
      </c>
      <c r="C122">
        <f>Table1[[#This Row],[Milliseconds]]/1000</f>
        <v>7.3239999999999998</v>
      </c>
      <c r="D122">
        <f>Table1[[#This Row],[mass (kg)]]*9.81</f>
        <v>0.78480000000000005</v>
      </c>
    </row>
    <row r="123" spans="1:4" x14ac:dyDescent="0.2">
      <c r="A123">
        <v>7385</v>
      </c>
      <c r="B123">
        <v>0.06</v>
      </c>
      <c r="C123">
        <f>Table1[[#This Row],[Milliseconds]]/1000</f>
        <v>7.3849999999999998</v>
      </c>
      <c r="D123">
        <f>Table1[[#This Row],[mass (kg)]]*9.81</f>
        <v>0.58860000000000001</v>
      </c>
    </row>
    <row r="124" spans="1:4" x14ac:dyDescent="0.2">
      <c r="A124">
        <v>7445</v>
      </c>
      <c r="B124">
        <v>7.0000000000000007E-2</v>
      </c>
      <c r="C124">
        <f>Table1[[#This Row],[Milliseconds]]/1000</f>
        <v>7.4450000000000003</v>
      </c>
      <c r="D124">
        <f>Table1[[#This Row],[mass (kg)]]*9.81</f>
        <v>0.68670000000000009</v>
      </c>
    </row>
    <row r="125" spans="1:4" x14ac:dyDescent="0.2">
      <c r="A125">
        <v>7505</v>
      </c>
      <c r="B125">
        <v>0.08</v>
      </c>
      <c r="C125">
        <f>Table1[[#This Row],[Milliseconds]]/1000</f>
        <v>7.5049999999999999</v>
      </c>
      <c r="D125">
        <f>Table1[[#This Row],[mass (kg)]]*9.81</f>
        <v>0.78480000000000005</v>
      </c>
    </row>
    <row r="126" spans="1:4" x14ac:dyDescent="0.2">
      <c r="A126">
        <v>7565</v>
      </c>
      <c r="B126">
        <v>7.0000000000000007E-2</v>
      </c>
      <c r="C126">
        <f>Table1[[#This Row],[Milliseconds]]/1000</f>
        <v>7.5650000000000004</v>
      </c>
      <c r="D126">
        <f>Table1[[#This Row],[mass (kg)]]*9.81</f>
        <v>0.68670000000000009</v>
      </c>
    </row>
    <row r="127" spans="1:4" x14ac:dyDescent="0.2">
      <c r="A127">
        <v>7625</v>
      </c>
      <c r="B127">
        <v>0.08</v>
      </c>
      <c r="C127">
        <f>Table1[[#This Row],[Milliseconds]]/1000</f>
        <v>7.625</v>
      </c>
      <c r="D127">
        <f>Table1[[#This Row],[mass (kg)]]*9.81</f>
        <v>0.78480000000000005</v>
      </c>
    </row>
    <row r="128" spans="1:4" x14ac:dyDescent="0.2">
      <c r="A128">
        <v>7686</v>
      </c>
      <c r="B128">
        <v>0.1</v>
      </c>
      <c r="C128">
        <f>Table1[[#This Row],[Milliseconds]]/1000</f>
        <v>7.6859999999999999</v>
      </c>
      <c r="D128">
        <f>Table1[[#This Row],[mass (kg)]]*9.81</f>
        <v>0.98100000000000009</v>
      </c>
    </row>
    <row r="129" spans="1:4" x14ac:dyDescent="0.2">
      <c r="A129">
        <v>7745</v>
      </c>
      <c r="B129">
        <v>0.09</v>
      </c>
      <c r="C129">
        <f>Table1[[#This Row],[Milliseconds]]/1000</f>
        <v>7.7450000000000001</v>
      </c>
      <c r="D129">
        <f>Table1[[#This Row],[mass (kg)]]*9.81</f>
        <v>0.88290000000000002</v>
      </c>
    </row>
    <row r="130" spans="1:4" x14ac:dyDescent="0.2">
      <c r="A130">
        <v>7805</v>
      </c>
      <c r="B130">
        <v>0.09</v>
      </c>
      <c r="C130">
        <f>Table1[[#This Row],[Milliseconds]]/1000</f>
        <v>7.8049999999999997</v>
      </c>
      <c r="D130">
        <f>Table1[[#This Row],[mass (kg)]]*9.81</f>
        <v>0.88290000000000002</v>
      </c>
    </row>
    <row r="131" spans="1:4" x14ac:dyDescent="0.2">
      <c r="A131">
        <v>7866</v>
      </c>
      <c r="B131">
        <v>0.11</v>
      </c>
      <c r="C131">
        <f>Table1[[#This Row],[Milliseconds]]/1000</f>
        <v>7.8659999999999997</v>
      </c>
      <c r="D131">
        <f>Table1[[#This Row],[mass (kg)]]*9.81</f>
        <v>1.0791000000000002</v>
      </c>
    </row>
    <row r="132" spans="1:4" x14ac:dyDescent="0.2">
      <c r="A132">
        <v>7926</v>
      </c>
      <c r="B132">
        <v>0.13</v>
      </c>
      <c r="C132">
        <f>Table1[[#This Row],[Milliseconds]]/1000</f>
        <v>7.9260000000000002</v>
      </c>
      <c r="D132">
        <f>Table1[[#This Row],[mass (kg)]]*9.81</f>
        <v>1.2753000000000001</v>
      </c>
    </row>
    <row r="133" spans="1:4" x14ac:dyDescent="0.2">
      <c r="A133">
        <v>7986</v>
      </c>
      <c r="B133">
        <v>0.11</v>
      </c>
      <c r="C133">
        <f>Table1[[#This Row],[Milliseconds]]/1000</f>
        <v>7.9859999999999998</v>
      </c>
      <c r="D133">
        <f>Table1[[#This Row],[mass (kg)]]*9.81</f>
        <v>1.0791000000000002</v>
      </c>
    </row>
    <row r="134" spans="1:4" x14ac:dyDescent="0.2">
      <c r="A134">
        <v>8046</v>
      </c>
      <c r="B134">
        <v>0.11</v>
      </c>
      <c r="C134">
        <f>Table1[[#This Row],[Milliseconds]]/1000</f>
        <v>8.0459999999999994</v>
      </c>
      <c r="D134">
        <f>Table1[[#This Row],[mass (kg)]]*9.81</f>
        <v>1.0791000000000002</v>
      </c>
    </row>
    <row r="135" spans="1:4" x14ac:dyDescent="0.2">
      <c r="A135">
        <v>8107</v>
      </c>
      <c r="B135">
        <v>0.1</v>
      </c>
      <c r="C135">
        <f>Table1[[#This Row],[Milliseconds]]/1000</f>
        <v>8.1069999999999993</v>
      </c>
      <c r="D135">
        <f>Table1[[#This Row],[mass (kg)]]*9.81</f>
        <v>0.98100000000000009</v>
      </c>
    </row>
    <row r="136" spans="1:4" x14ac:dyDescent="0.2">
      <c r="A136">
        <v>8166</v>
      </c>
      <c r="B136">
        <v>0.09</v>
      </c>
      <c r="C136">
        <f>Table1[[#This Row],[Milliseconds]]/1000</f>
        <v>8.1660000000000004</v>
      </c>
      <c r="D136">
        <f>Table1[[#This Row],[mass (kg)]]*9.81</f>
        <v>0.88290000000000002</v>
      </c>
    </row>
    <row r="137" spans="1:4" x14ac:dyDescent="0.2">
      <c r="A137">
        <v>8226</v>
      </c>
      <c r="B137">
        <v>0.12</v>
      </c>
      <c r="C137">
        <f>Table1[[#This Row],[Milliseconds]]/1000</f>
        <v>8.2260000000000009</v>
      </c>
      <c r="D137">
        <f>Table1[[#This Row],[mass (kg)]]*9.81</f>
        <v>1.1772</v>
      </c>
    </row>
    <row r="138" spans="1:4" x14ac:dyDescent="0.2">
      <c r="A138">
        <v>8287</v>
      </c>
      <c r="B138">
        <v>0.11</v>
      </c>
      <c r="C138">
        <f>Table1[[#This Row],[Milliseconds]]/1000</f>
        <v>8.2870000000000008</v>
      </c>
      <c r="D138">
        <f>Table1[[#This Row],[mass (kg)]]*9.81</f>
        <v>1.0791000000000002</v>
      </c>
    </row>
    <row r="139" spans="1:4" x14ac:dyDescent="0.2">
      <c r="A139">
        <v>8347</v>
      </c>
      <c r="B139">
        <v>0.11</v>
      </c>
      <c r="C139">
        <f>Table1[[#This Row],[Milliseconds]]/1000</f>
        <v>8.3469999999999995</v>
      </c>
      <c r="D139">
        <f>Table1[[#This Row],[mass (kg)]]*9.81</f>
        <v>1.0791000000000002</v>
      </c>
    </row>
    <row r="140" spans="1:4" x14ac:dyDescent="0.2">
      <c r="A140">
        <v>8407</v>
      </c>
      <c r="B140">
        <v>0.1</v>
      </c>
      <c r="C140">
        <f>Table1[[#This Row],[Milliseconds]]/1000</f>
        <v>8.407</v>
      </c>
      <c r="D140">
        <f>Table1[[#This Row],[mass (kg)]]*9.81</f>
        <v>0.98100000000000009</v>
      </c>
    </row>
    <row r="141" spans="1:4" x14ac:dyDescent="0.2">
      <c r="A141">
        <v>8467</v>
      </c>
      <c r="B141">
        <v>0.08</v>
      </c>
      <c r="C141">
        <f>Table1[[#This Row],[Milliseconds]]/1000</f>
        <v>8.4670000000000005</v>
      </c>
      <c r="D141">
        <f>Table1[[#This Row],[mass (kg)]]*9.81</f>
        <v>0.78480000000000005</v>
      </c>
    </row>
    <row r="142" spans="1:4" x14ac:dyDescent="0.2">
      <c r="A142">
        <v>8527</v>
      </c>
      <c r="B142">
        <v>0.1</v>
      </c>
      <c r="C142">
        <f>Table1[[#This Row],[Milliseconds]]/1000</f>
        <v>8.5269999999999992</v>
      </c>
      <c r="D142">
        <f>Table1[[#This Row],[mass (kg)]]*9.81</f>
        <v>0.98100000000000009</v>
      </c>
    </row>
    <row r="143" spans="1:4" x14ac:dyDescent="0.2">
      <c r="A143">
        <v>8587</v>
      </c>
      <c r="B143">
        <v>0.11</v>
      </c>
      <c r="C143">
        <f>Table1[[#This Row],[Milliseconds]]/1000</f>
        <v>8.5869999999999997</v>
      </c>
      <c r="D143">
        <f>Table1[[#This Row],[mass (kg)]]*9.81</f>
        <v>1.0791000000000002</v>
      </c>
    </row>
    <row r="144" spans="1:4" x14ac:dyDescent="0.2">
      <c r="A144">
        <v>8647</v>
      </c>
      <c r="B144">
        <v>0.09</v>
      </c>
      <c r="C144">
        <f>Table1[[#This Row],[Milliseconds]]/1000</f>
        <v>8.6470000000000002</v>
      </c>
      <c r="D144">
        <f>Table1[[#This Row],[mass (kg)]]*9.81</f>
        <v>0.88290000000000002</v>
      </c>
    </row>
    <row r="145" spans="1:4" x14ac:dyDescent="0.2">
      <c r="A145">
        <v>8708</v>
      </c>
      <c r="B145">
        <v>0.1</v>
      </c>
      <c r="C145">
        <f>Table1[[#This Row],[Milliseconds]]/1000</f>
        <v>8.7080000000000002</v>
      </c>
      <c r="D145">
        <f>Table1[[#This Row],[mass (kg)]]*9.81</f>
        <v>0.98100000000000009</v>
      </c>
    </row>
    <row r="146" spans="1:4" x14ac:dyDescent="0.2">
      <c r="A146">
        <v>8767</v>
      </c>
      <c r="B146">
        <v>0.08</v>
      </c>
      <c r="C146">
        <f>Table1[[#This Row],[Milliseconds]]/1000</f>
        <v>8.7669999999999995</v>
      </c>
      <c r="D146">
        <f>Table1[[#This Row],[mass (kg)]]*9.81</f>
        <v>0.78480000000000005</v>
      </c>
    </row>
    <row r="147" spans="1:4" x14ac:dyDescent="0.2">
      <c r="A147">
        <v>8827</v>
      </c>
      <c r="B147">
        <v>0.09</v>
      </c>
      <c r="C147">
        <f>Table1[[#This Row],[Milliseconds]]/1000</f>
        <v>8.827</v>
      </c>
      <c r="D147">
        <f>Table1[[#This Row],[mass (kg)]]*9.81</f>
        <v>0.88290000000000002</v>
      </c>
    </row>
    <row r="148" spans="1:4" x14ac:dyDescent="0.2">
      <c r="A148">
        <v>8888</v>
      </c>
      <c r="B148">
        <v>0.08</v>
      </c>
      <c r="C148">
        <f>Table1[[#This Row],[Milliseconds]]/1000</f>
        <v>8.8879999999999999</v>
      </c>
      <c r="D148">
        <f>Table1[[#This Row],[mass (kg)]]*9.81</f>
        <v>0.78480000000000005</v>
      </c>
    </row>
    <row r="149" spans="1:4" x14ac:dyDescent="0.2">
      <c r="A149">
        <v>8948</v>
      </c>
      <c r="B149">
        <v>0.09</v>
      </c>
      <c r="C149">
        <f>Table1[[#This Row],[Milliseconds]]/1000</f>
        <v>8.9480000000000004</v>
      </c>
      <c r="D149">
        <f>Table1[[#This Row],[mass (kg)]]*9.81</f>
        <v>0.88290000000000002</v>
      </c>
    </row>
    <row r="150" spans="1:4" x14ac:dyDescent="0.2">
      <c r="A150">
        <v>9008</v>
      </c>
      <c r="B150">
        <v>0.09</v>
      </c>
      <c r="C150">
        <f>Table1[[#This Row],[Milliseconds]]/1000</f>
        <v>9.0079999999999991</v>
      </c>
      <c r="D150">
        <f>Table1[[#This Row],[mass (kg)]]*9.81</f>
        <v>0.88290000000000002</v>
      </c>
    </row>
    <row r="151" spans="1:4" x14ac:dyDescent="0.2">
      <c r="A151">
        <v>9068</v>
      </c>
      <c r="B151">
        <v>0.1</v>
      </c>
      <c r="C151">
        <f>Table1[[#This Row],[Milliseconds]]/1000</f>
        <v>9.0679999999999996</v>
      </c>
      <c r="D151">
        <f>Table1[[#This Row],[mass (kg)]]*9.81</f>
        <v>0.98100000000000009</v>
      </c>
    </row>
    <row r="152" spans="1:4" x14ac:dyDescent="0.2">
      <c r="A152">
        <v>9128</v>
      </c>
      <c r="B152">
        <v>0.09</v>
      </c>
      <c r="C152">
        <f>Table1[[#This Row],[Milliseconds]]/1000</f>
        <v>9.1280000000000001</v>
      </c>
      <c r="D152">
        <f>Table1[[#This Row],[mass (kg)]]*9.81</f>
        <v>0.88290000000000002</v>
      </c>
    </row>
    <row r="153" spans="1:4" x14ac:dyDescent="0.2">
      <c r="A153">
        <v>9188</v>
      </c>
      <c r="B153">
        <v>7.0000000000000007E-2</v>
      </c>
      <c r="C153">
        <f>Table1[[#This Row],[Milliseconds]]/1000</f>
        <v>9.1880000000000006</v>
      </c>
      <c r="D153">
        <f>Table1[[#This Row],[mass (kg)]]*9.81</f>
        <v>0.68670000000000009</v>
      </c>
    </row>
    <row r="154" spans="1:4" x14ac:dyDescent="0.2">
      <c r="A154">
        <v>9248</v>
      </c>
      <c r="B154">
        <v>0.09</v>
      </c>
      <c r="C154">
        <f>Table1[[#This Row],[Milliseconds]]/1000</f>
        <v>9.2479999999999993</v>
      </c>
      <c r="D154">
        <f>Table1[[#This Row],[mass (kg)]]*9.81</f>
        <v>0.88290000000000002</v>
      </c>
    </row>
    <row r="155" spans="1:4" x14ac:dyDescent="0.2">
      <c r="A155">
        <v>9309</v>
      </c>
      <c r="B155">
        <v>0.09</v>
      </c>
      <c r="C155">
        <f>Table1[[#This Row],[Milliseconds]]/1000</f>
        <v>9.3089999999999993</v>
      </c>
      <c r="D155">
        <f>Table1[[#This Row],[mass (kg)]]*9.81</f>
        <v>0.88290000000000002</v>
      </c>
    </row>
    <row r="156" spans="1:4" x14ac:dyDescent="0.2">
      <c r="A156">
        <v>9369</v>
      </c>
      <c r="B156">
        <v>0.08</v>
      </c>
      <c r="C156">
        <f>Table1[[#This Row],[Milliseconds]]/1000</f>
        <v>9.3689999999999998</v>
      </c>
      <c r="D156">
        <f>Table1[[#This Row],[mass (kg)]]*9.81</f>
        <v>0.78480000000000005</v>
      </c>
    </row>
    <row r="157" spans="1:4" x14ac:dyDescent="0.2">
      <c r="A157">
        <v>9428</v>
      </c>
      <c r="B157">
        <v>0.09</v>
      </c>
      <c r="C157">
        <f>Table1[[#This Row],[Milliseconds]]/1000</f>
        <v>9.4280000000000008</v>
      </c>
      <c r="D157">
        <f>Table1[[#This Row],[mass (kg)]]*9.81</f>
        <v>0.88290000000000002</v>
      </c>
    </row>
    <row r="158" spans="1:4" x14ac:dyDescent="0.2">
      <c r="A158">
        <v>9489</v>
      </c>
      <c r="B158">
        <v>0.09</v>
      </c>
      <c r="C158">
        <f>Table1[[#This Row],[Milliseconds]]/1000</f>
        <v>9.4890000000000008</v>
      </c>
      <c r="D158">
        <f>Table1[[#This Row],[mass (kg)]]*9.81</f>
        <v>0.88290000000000002</v>
      </c>
    </row>
    <row r="159" spans="1:4" x14ac:dyDescent="0.2">
      <c r="A159">
        <v>9549</v>
      </c>
      <c r="B159">
        <v>0.09</v>
      </c>
      <c r="C159">
        <f>Table1[[#This Row],[Milliseconds]]/1000</f>
        <v>9.5489999999999995</v>
      </c>
      <c r="D159">
        <f>Table1[[#This Row],[mass (kg)]]*9.81</f>
        <v>0.88290000000000002</v>
      </c>
    </row>
    <row r="160" spans="1:4" x14ac:dyDescent="0.2">
      <c r="A160">
        <v>9609</v>
      </c>
      <c r="B160">
        <v>0.09</v>
      </c>
      <c r="C160">
        <f>Table1[[#This Row],[Milliseconds]]/1000</f>
        <v>9.609</v>
      </c>
      <c r="D160">
        <f>Table1[[#This Row],[mass (kg)]]*9.81</f>
        <v>0.88290000000000002</v>
      </c>
    </row>
    <row r="161" spans="1:4" x14ac:dyDescent="0.2">
      <c r="A161">
        <v>9669</v>
      </c>
      <c r="B161">
        <v>0.08</v>
      </c>
      <c r="C161">
        <f>Table1[[#This Row],[Milliseconds]]/1000</f>
        <v>9.6690000000000005</v>
      </c>
      <c r="D161">
        <f>Table1[[#This Row],[mass (kg)]]*9.81</f>
        <v>0.78480000000000005</v>
      </c>
    </row>
    <row r="162" spans="1:4" x14ac:dyDescent="0.2">
      <c r="A162">
        <v>9730</v>
      </c>
      <c r="B162">
        <v>0.08</v>
      </c>
      <c r="C162">
        <f>Table1[[#This Row],[Milliseconds]]/1000</f>
        <v>9.73</v>
      </c>
      <c r="D162">
        <f>Table1[[#This Row],[mass (kg)]]*9.81</f>
        <v>0.78480000000000005</v>
      </c>
    </row>
    <row r="163" spans="1:4" x14ac:dyDescent="0.2">
      <c r="A163">
        <v>9789</v>
      </c>
      <c r="B163">
        <v>0.08</v>
      </c>
      <c r="C163">
        <f>Table1[[#This Row],[Milliseconds]]/1000</f>
        <v>9.7889999999999997</v>
      </c>
      <c r="D163">
        <f>Table1[[#This Row],[mass (kg)]]*9.81</f>
        <v>0.78480000000000005</v>
      </c>
    </row>
    <row r="164" spans="1:4" x14ac:dyDescent="0.2">
      <c r="A164">
        <v>9849</v>
      </c>
      <c r="B164">
        <v>0.08</v>
      </c>
      <c r="C164">
        <f>Table1[[#This Row],[Milliseconds]]/1000</f>
        <v>9.8490000000000002</v>
      </c>
      <c r="D164">
        <f>Table1[[#This Row],[mass (kg)]]*9.81</f>
        <v>0.78480000000000005</v>
      </c>
    </row>
    <row r="165" spans="1:4" x14ac:dyDescent="0.2">
      <c r="A165">
        <v>9910</v>
      </c>
      <c r="B165">
        <v>0.09</v>
      </c>
      <c r="C165">
        <f>Table1[[#This Row],[Milliseconds]]/1000</f>
        <v>9.91</v>
      </c>
      <c r="D165">
        <f>Table1[[#This Row],[mass (kg)]]*9.81</f>
        <v>0.88290000000000002</v>
      </c>
    </row>
    <row r="166" spans="1:4" x14ac:dyDescent="0.2">
      <c r="A166">
        <v>9970</v>
      </c>
      <c r="B166">
        <v>0.09</v>
      </c>
      <c r="C166">
        <f>Table1[[#This Row],[Milliseconds]]/1000</f>
        <v>9.9700000000000006</v>
      </c>
      <c r="D166">
        <f>Table1[[#This Row],[mass (kg)]]*9.81</f>
        <v>0.88290000000000002</v>
      </c>
    </row>
    <row r="167" spans="1:4" x14ac:dyDescent="0.2">
      <c r="A167">
        <v>10030</v>
      </c>
      <c r="B167">
        <v>0.08</v>
      </c>
      <c r="C167">
        <f>Table1[[#This Row],[Milliseconds]]/1000</f>
        <v>10.029999999999999</v>
      </c>
      <c r="D167">
        <f>Table1[[#This Row],[mass (kg)]]*9.81</f>
        <v>0.78480000000000005</v>
      </c>
    </row>
    <row r="168" spans="1:4" x14ac:dyDescent="0.2">
      <c r="A168">
        <v>10090</v>
      </c>
      <c r="B168">
        <v>0.08</v>
      </c>
      <c r="C168">
        <f>Table1[[#This Row],[Milliseconds]]/1000</f>
        <v>10.09</v>
      </c>
      <c r="D168">
        <f>Table1[[#This Row],[mass (kg)]]*9.81</f>
        <v>0.78480000000000005</v>
      </c>
    </row>
    <row r="169" spans="1:4" x14ac:dyDescent="0.2">
      <c r="A169">
        <v>10150</v>
      </c>
      <c r="B169">
        <v>0.08</v>
      </c>
      <c r="C169">
        <f>Table1[[#This Row],[Milliseconds]]/1000</f>
        <v>10.15</v>
      </c>
      <c r="D169">
        <f>Table1[[#This Row],[mass (kg)]]*9.81</f>
        <v>0.78480000000000005</v>
      </c>
    </row>
    <row r="170" spans="1:4" x14ac:dyDescent="0.2">
      <c r="A170">
        <v>10210</v>
      </c>
      <c r="B170">
        <v>0.1</v>
      </c>
      <c r="C170">
        <f>Table1[[#This Row],[Milliseconds]]/1000</f>
        <v>10.210000000000001</v>
      </c>
      <c r="D170">
        <f>Table1[[#This Row],[mass (kg)]]*9.81</f>
        <v>0.98100000000000009</v>
      </c>
    </row>
    <row r="171" spans="1:4" x14ac:dyDescent="0.2">
      <c r="A171">
        <v>10270</v>
      </c>
      <c r="B171">
        <v>7.0000000000000007E-2</v>
      </c>
      <c r="C171">
        <f>Table1[[#This Row],[Milliseconds]]/1000</f>
        <v>10.27</v>
      </c>
      <c r="D171">
        <f>Table1[[#This Row],[mass (kg)]]*9.81</f>
        <v>0.68670000000000009</v>
      </c>
    </row>
    <row r="172" spans="1:4" x14ac:dyDescent="0.2">
      <c r="A172">
        <v>10331</v>
      </c>
      <c r="B172">
        <v>0.09</v>
      </c>
      <c r="C172">
        <f>Table1[[#This Row],[Milliseconds]]/1000</f>
        <v>10.331</v>
      </c>
      <c r="D172">
        <f>Table1[[#This Row],[mass (kg)]]*9.81</f>
        <v>0.88290000000000002</v>
      </c>
    </row>
    <row r="173" spans="1:4" x14ac:dyDescent="0.2">
      <c r="A173">
        <v>10391</v>
      </c>
      <c r="B173">
        <v>0.09</v>
      </c>
      <c r="C173">
        <f>Table1[[#This Row],[Milliseconds]]/1000</f>
        <v>10.391</v>
      </c>
      <c r="D173">
        <f>Table1[[#This Row],[mass (kg)]]*9.81</f>
        <v>0.88290000000000002</v>
      </c>
    </row>
    <row r="174" spans="1:4" x14ac:dyDescent="0.2">
      <c r="A174">
        <v>10450</v>
      </c>
      <c r="B174">
        <v>0.08</v>
      </c>
      <c r="C174">
        <f>Table1[[#This Row],[Milliseconds]]/1000</f>
        <v>10.45</v>
      </c>
      <c r="D174">
        <f>Table1[[#This Row],[mass (kg)]]*9.81</f>
        <v>0.78480000000000005</v>
      </c>
    </row>
    <row r="175" spans="1:4" x14ac:dyDescent="0.2">
      <c r="A175">
        <v>10511</v>
      </c>
      <c r="B175">
        <v>0.09</v>
      </c>
      <c r="C175">
        <f>Table1[[#This Row],[Milliseconds]]/1000</f>
        <v>10.510999999999999</v>
      </c>
      <c r="D175">
        <f>Table1[[#This Row],[mass (kg)]]*9.81</f>
        <v>0.88290000000000002</v>
      </c>
    </row>
    <row r="176" spans="1:4" x14ac:dyDescent="0.2">
      <c r="A176">
        <v>10571</v>
      </c>
      <c r="B176">
        <v>0.09</v>
      </c>
      <c r="C176">
        <f>Table1[[#This Row],[Milliseconds]]/1000</f>
        <v>10.571</v>
      </c>
      <c r="D176">
        <f>Table1[[#This Row],[mass (kg)]]*9.81</f>
        <v>0.88290000000000002</v>
      </c>
    </row>
    <row r="177" spans="1:4" x14ac:dyDescent="0.2">
      <c r="A177">
        <v>10631</v>
      </c>
      <c r="B177">
        <v>0.09</v>
      </c>
      <c r="C177">
        <f>Table1[[#This Row],[Milliseconds]]/1000</f>
        <v>10.631</v>
      </c>
      <c r="D177">
        <f>Table1[[#This Row],[mass (kg)]]*9.81</f>
        <v>0.88290000000000002</v>
      </c>
    </row>
    <row r="178" spans="1:4" x14ac:dyDescent="0.2">
      <c r="A178">
        <v>10691</v>
      </c>
      <c r="B178">
        <v>0.08</v>
      </c>
      <c r="C178">
        <f>Table1[[#This Row],[Milliseconds]]/1000</f>
        <v>10.691000000000001</v>
      </c>
      <c r="D178">
        <f>Table1[[#This Row],[mass (kg)]]*9.81</f>
        <v>0.78480000000000005</v>
      </c>
    </row>
    <row r="179" spans="1:4" x14ac:dyDescent="0.2">
      <c r="A179">
        <v>10752</v>
      </c>
      <c r="B179">
        <v>0.1</v>
      </c>
      <c r="C179">
        <f>Table1[[#This Row],[Milliseconds]]/1000</f>
        <v>10.752000000000001</v>
      </c>
      <c r="D179">
        <f>Table1[[#This Row],[mass (kg)]]*9.81</f>
        <v>0.98100000000000009</v>
      </c>
    </row>
    <row r="180" spans="1:4" x14ac:dyDescent="0.2">
      <c r="A180">
        <v>10811</v>
      </c>
      <c r="B180">
        <v>0.1</v>
      </c>
      <c r="C180">
        <f>Table1[[#This Row],[Milliseconds]]/1000</f>
        <v>10.811</v>
      </c>
      <c r="D180">
        <f>Table1[[#This Row],[mass (kg)]]*9.81</f>
        <v>0.98100000000000009</v>
      </c>
    </row>
    <row r="181" spans="1:4" x14ac:dyDescent="0.2">
      <c r="A181">
        <v>10871</v>
      </c>
      <c r="B181">
        <v>7.0000000000000007E-2</v>
      </c>
      <c r="C181">
        <f>Table1[[#This Row],[Milliseconds]]/1000</f>
        <v>10.871</v>
      </c>
      <c r="D181">
        <f>Table1[[#This Row],[mass (kg)]]*9.81</f>
        <v>0.68670000000000009</v>
      </c>
    </row>
    <row r="182" spans="1:4" x14ac:dyDescent="0.2">
      <c r="A182">
        <v>10932</v>
      </c>
      <c r="B182">
        <v>0.1</v>
      </c>
      <c r="C182">
        <f>Table1[[#This Row],[Milliseconds]]/1000</f>
        <v>10.932</v>
      </c>
      <c r="D182">
        <f>Table1[[#This Row],[mass (kg)]]*9.81</f>
        <v>0.98100000000000009</v>
      </c>
    </row>
    <row r="183" spans="1:4" x14ac:dyDescent="0.2">
      <c r="A183">
        <v>10992</v>
      </c>
      <c r="B183">
        <v>0.1</v>
      </c>
      <c r="C183">
        <f>Table1[[#This Row],[Milliseconds]]/1000</f>
        <v>10.992000000000001</v>
      </c>
      <c r="D183">
        <f>Table1[[#This Row],[mass (kg)]]*9.81</f>
        <v>0.98100000000000009</v>
      </c>
    </row>
    <row r="184" spans="1:4" x14ac:dyDescent="0.2">
      <c r="A184">
        <v>11052</v>
      </c>
      <c r="B184">
        <v>0.09</v>
      </c>
      <c r="C184">
        <f>Table1[[#This Row],[Milliseconds]]/1000</f>
        <v>11.052</v>
      </c>
      <c r="D184">
        <f>Table1[[#This Row],[mass (kg)]]*9.81</f>
        <v>0.88290000000000002</v>
      </c>
    </row>
    <row r="185" spans="1:4" x14ac:dyDescent="0.2">
      <c r="A185">
        <v>11112</v>
      </c>
      <c r="B185">
        <v>0.11</v>
      </c>
      <c r="C185">
        <f>Table1[[#This Row],[Milliseconds]]/1000</f>
        <v>11.112</v>
      </c>
      <c r="D185">
        <f>Table1[[#This Row],[mass (kg)]]*9.81</f>
        <v>1.0791000000000002</v>
      </c>
    </row>
    <row r="186" spans="1:4" x14ac:dyDescent="0.2">
      <c r="A186">
        <v>11172</v>
      </c>
      <c r="B186">
        <v>0.11</v>
      </c>
      <c r="C186">
        <f>Table1[[#This Row],[Milliseconds]]/1000</f>
        <v>11.172000000000001</v>
      </c>
      <c r="D186">
        <f>Table1[[#This Row],[mass (kg)]]*9.81</f>
        <v>1.0791000000000002</v>
      </c>
    </row>
    <row r="187" spans="1:4" x14ac:dyDescent="0.2">
      <c r="A187">
        <v>11232</v>
      </c>
      <c r="B187">
        <v>0.1</v>
      </c>
      <c r="C187">
        <f>Table1[[#This Row],[Milliseconds]]/1000</f>
        <v>11.231999999999999</v>
      </c>
      <c r="D187">
        <f>Table1[[#This Row],[mass (kg)]]*9.81</f>
        <v>0.98100000000000009</v>
      </c>
    </row>
    <row r="188" spans="1:4" x14ac:dyDescent="0.2">
      <c r="A188">
        <v>11292</v>
      </c>
      <c r="B188">
        <v>0.1</v>
      </c>
      <c r="C188">
        <f>Table1[[#This Row],[Milliseconds]]/1000</f>
        <v>11.292</v>
      </c>
      <c r="D188">
        <f>Table1[[#This Row],[mass (kg)]]*9.81</f>
        <v>0.98100000000000009</v>
      </c>
    </row>
    <row r="189" spans="1:4" x14ac:dyDescent="0.2">
      <c r="A189">
        <v>11353</v>
      </c>
      <c r="B189">
        <v>0.1</v>
      </c>
      <c r="C189">
        <f>Table1[[#This Row],[Milliseconds]]/1000</f>
        <v>11.353</v>
      </c>
      <c r="D189">
        <f>Table1[[#This Row],[mass (kg)]]*9.81</f>
        <v>0.98100000000000009</v>
      </c>
    </row>
    <row r="190" spans="1:4" x14ac:dyDescent="0.2">
      <c r="A190">
        <v>11413</v>
      </c>
      <c r="B190">
        <v>0.08</v>
      </c>
      <c r="C190">
        <f>Table1[[#This Row],[Milliseconds]]/1000</f>
        <v>11.413</v>
      </c>
      <c r="D190">
        <f>Table1[[#This Row],[mass (kg)]]*9.81</f>
        <v>0.78480000000000005</v>
      </c>
    </row>
    <row r="191" spans="1:4" x14ac:dyDescent="0.2">
      <c r="A191">
        <v>11472</v>
      </c>
      <c r="B191">
        <v>0.08</v>
      </c>
      <c r="C191">
        <f>Table1[[#This Row],[Milliseconds]]/1000</f>
        <v>11.472</v>
      </c>
      <c r="D191">
        <f>Table1[[#This Row],[mass (kg)]]*9.81</f>
        <v>0.78480000000000005</v>
      </c>
    </row>
    <row r="192" spans="1:4" x14ac:dyDescent="0.2">
      <c r="A192">
        <v>11533</v>
      </c>
      <c r="B192">
        <v>7.0000000000000007E-2</v>
      </c>
      <c r="C192">
        <f>Table1[[#This Row],[Milliseconds]]/1000</f>
        <v>11.532999999999999</v>
      </c>
      <c r="D192">
        <f>Table1[[#This Row],[mass (kg)]]*9.81</f>
        <v>0.68670000000000009</v>
      </c>
    </row>
    <row r="193" spans="1:4" x14ac:dyDescent="0.2">
      <c r="A193">
        <v>11593</v>
      </c>
      <c r="B193">
        <v>0.08</v>
      </c>
      <c r="C193">
        <f>Table1[[#This Row],[Milliseconds]]/1000</f>
        <v>11.593</v>
      </c>
      <c r="D193">
        <f>Table1[[#This Row],[mass (kg)]]*9.81</f>
        <v>0.78480000000000005</v>
      </c>
    </row>
    <row r="194" spans="1:4" x14ac:dyDescent="0.2">
      <c r="A194">
        <v>11653</v>
      </c>
      <c r="B194">
        <v>7.0000000000000007E-2</v>
      </c>
      <c r="C194">
        <f>Table1[[#This Row],[Milliseconds]]/1000</f>
        <v>11.653</v>
      </c>
      <c r="D194">
        <f>Table1[[#This Row],[mass (kg)]]*9.81</f>
        <v>0.68670000000000009</v>
      </c>
    </row>
    <row r="195" spans="1:4" x14ac:dyDescent="0.2">
      <c r="A195">
        <v>11713</v>
      </c>
      <c r="B195">
        <v>0.08</v>
      </c>
      <c r="C195">
        <f>Table1[[#This Row],[Milliseconds]]/1000</f>
        <v>11.712999999999999</v>
      </c>
      <c r="D195">
        <f>Table1[[#This Row],[mass (kg)]]*9.81</f>
        <v>0.78480000000000005</v>
      </c>
    </row>
    <row r="196" spans="1:4" x14ac:dyDescent="0.2">
      <c r="A196">
        <v>11773</v>
      </c>
      <c r="B196">
        <v>0.06</v>
      </c>
      <c r="C196">
        <f>Table1[[#This Row],[Milliseconds]]/1000</f>
        <v>11.773</v>
      </c>
      <c r="D196">
        <f>Table1[[#This Row],[mass (kg)]]*9.81</f>
        <v>0.58860000000000001</v>
      </c>
    </row>
    <row r="197" spans="1:4" x14ac:dyDescent="0.2">
      <c r="A197">
        <v>11833</v>
      </c>
      <c r="B197">
        <v>7.0000000000000007E-2</v>
      </c>
      <c r="C197">
        <f>Table1[[#This Row],[Milliseconds]]/1000</f>
        <v>11.833</v>
      </c>
      <c r="D197">
        <f>Table1[[#This Row],[mass (kg)]]*9.81</f>
        <v>0.68670000000000009</v>
      </c>
    </row>
    <row r="198" spans="1:4" x14ac:dyDescent="0.2">
      <c r="A198">
        <v>11893</v>
      </c>
      <c r="B198">
        <v>0.06</v>
      </c>
      <c r="C198">
        <f>Table1[[#This Row],[Milliseconds]]/1000</f>
        <v>11.893000000000001</v>
      </c>
      <c r="D198">
        <f>Table1[[#This Row],[mass (kg)]]*9.81</f>
        <v>0.58860000000000001</v>
      </c>
    </row>
    <row r="199" spans="1:4" x14ac:dyDescent="0.2">
      <c r="A199">
        <v>11954</v>
      </c>
      <c r="B199">
        <v>7.0000000000000007E-2</v>
      </c>
      <c r="C199">
        <f>Table1[[#This Row],[Milliseconds]]/1000</f>
        <v>11.954000000000001</v>
      </c>
      <c r="D199">
        <f>Table1[[#This Row],[mass (kg)]]*9.81</f>
        <v>0.68670000000000009</v>
      </c>
    </row>
    <row r="200" spans="1:4" x14ac:dyDescent="0.2">
      <c r="A200">
        <v>12014</v>
      </c>
      <c r="B200">
        <v>7.0000000000000007E-2</v>
      </c>
      <c r="C200">
        <f>Table1[[#This Row],[Milliseconds]]/1000</f>
        <v>12.013999999999999</v>
      </c>
      <c r="D200">
        <f>Table1[[#This Row],[mass (kg)]]*9.81</f>
        <v>0.68670000000000009</v>
      </c>
    </row>
    <row r="201" spans="1:4" x14ac:dyDescent="0.2">
      <c r="A201">
        <v>12073</v>
      </c>
      <c r="B201">
        <v>0.08</v>
      </c>
      <c r="C201">
        <f>Table1[[#This Row],[Milliseconds]]/1000</f>
        <v>12.073</v>
      </c>
      <c r="D201">
        <f>Table1[[#This Row],[mass (kg)]]*9.81</f>
        <v>0.78480000000000005</v>
      </c>
    </row>
    <row r="202" spans="1:4" x14ac:dyDescent="0.2">
      <c r="A202">
        <v>12134</v>
      </c>
      <c r="B202">
        <v>7.0000000000000007E-2</v>
      </c>
      <c r="C202">
        <f>Table1[[#This Row],[Milliseconds]]/1000</f>
        <v>12.134</v>
      </c>
      <c r="D202">
        <f>Table1[[#This Row],[mass (kg)]]*9.81</f>
        <v>0.68670000000000009</v>
      </c>
    </row>
    <row r="203" spans="1:4" x14ac:dyDescent="0.2">
      <c r="A203">
        <v>12194</v>
      </c>
      <c r="B203">
        <v>0.06</v>
      </c>
      <c r="C203">
        <f>Table1[[#This Row],[Milliseconds]]/1000</f>
        <v>12.194000000000001</v>
      </c>
      <c r="D203">
        <f>Table1[[#This Row],[mass (kg)]]*9.81</f>
        <v>0.58860000000000001</v>
      </c>
    </row>
    <row r="204" spans="1:4" x14ac:dyDescent="0.2">
      <c r="A204">
        <v>12254</v>
      </c>
      <c r="B204">
        <v>0.1</v>
      </c>
      <c r="C204">
        <f>Table1[[#This Row],[Milliseconds]]/1000</f>
        <v>12.254</v>
      </c>
      <c r="D204">
        <f>Table1[[#This Row],[mass (kg)]]*9.81</f>
        <v>0.98100000000000009</v>
      </c>
    </row>
    <row r="205" spans="1:4" x14ac:dyDescent="0.2">
      <c r="A205">
        <v>12314</v>
      </c>
      <c r="B205">
        <v>0.08</v>
      </c>
      <c r="C205">
        <f>Table1[[#This Row],[Milliseconds]]/1000</f>
        <v>12.314</v>
      </c>
      <c r="D205">
        <f>Table1[[#This Row],[mass (kg)]]*9.81</f>
        <v>0.78480000000000005</v>
      </c>
    </row>
    <row r="206" spans="1:4" x14ac:dyDescent="0.2">
      <c r="A206">
        <v>12375</v>
      </c>
      <c r="B206">
        <v>0.08</v>
      </c>
      <c r="C206">
        <f>Table1[[#This Row],[Milliseconds]]/1000</f>
        <v>12.375</v>
      </c>
      <c r="D206">
        <f>Table1[[#This Row],[mass (kg)]]*9.81</f>
        <v>0.78480000000000005</v>
      </c>
    </row>
    <row r="207" spans="1:4" x14ac:dyDescent="0.2">
      <c r="A207">
        <v>12435</v>
      </c>
      <c r="B207">
        <v>0.09</v>
      </c>
      <c r="C207">
        <f>Table1[[#This Row],[Milliseconds]]/1000</f>
        <v>12.435</v>
      </c>
      <c r="D207">
        <f>Table1[[#This Row],[mass (kg)]]*9.81</f>
        <v>0.88290000000000002</v>
      </c>
    </row>
    <row r="208" spans="1:4" x14ac:dyDescent="0.2">
      <c r="A208">
        <v>12494</v>
      </c>
      <c r="B208">
        <v>0.09</v>
      </c>
      <c r="C208">
        <f>Table1[[#This Row],[Milliseconds]]/1000</f>
        <v>12.494</v>
      </c>
      <c r="D208">
        <f>Table1[[#This Row],[mass (kg)]]*9.81</f>
        <v>0.88290000000000002</v>
      </c>
    </row>
    <row r="209" spans="1:4" x14ac:dyDescent="0.2">
      <c r="A209">
        <v>12555</v>
      </c>
      <c r="B209">
        <v>7.0000000000000007E-2</v>
      </c>
      <c r="C209">
        <f>Table1[[#This Row],[Milliseconds]]/1000</f>
        <v>12.555</v>
      </c>
      <c r="D209">
        <f>Table1[[#This Row],[mass (kg)]]*9.81</f>
        <v>0.68670000000000009</v>
      </c>
    </row>
    <row r="210" spans="1:4" x14ac:dyDescent="0.2">
      <c r="A210">
        <v>12615</v>
      </c>
      <c r="B210">
        <v>0.1</v>
      </c>
      <c r="C210">
        <f>Table1[[#This Row],[Milliseconds]]/1000</f>
        <v>12.615</v>
      </c>
      <c r="D210">
        <f>Table1[[#This Row],[mass (kg)]]*9.81</f>
        <v>0.98100000000000009</v>
      </c>
    </row>
    <row r="211" spans="1:4" x14ac:dyDescent="0.2">
      <c r="A211">
        <v>12675</v>
      </c>
      <c r="B211">
        <v>0.09</v>
      </c>
      <c r="C211">
        <f>Table1[[#This Row],[Milliseconds]]/1000</f>
        <v>12.675000000000001</v>
      </c>
      <c r="D211">
        <f>Table1[[#This Row],[mass (kg)]]*9.81</f>
        <v>0.88290000000000002</v>
      </c>
    </row>
    <row r="212" spans="1:4" x14ac:dyDescent="0.2">
      <c r="A212">
        <v>12735</v>
      </c>
      <c r="B212">
        <v>7.0000000000000007E-2</v>
      </c>
      <c r="C212">
        <f>Table1[[#This Row],[Milliseconds]]/1000</f>
        <v>12.734999999999999</v>
      </c>
      <c r="D212">
        <f>Table1[[#This Row],[mass (kg)]]*9.81</f>
        <v>0.68670000000000009</v>
      </c>
    </row>
    <row r="213" spans="1:4" x14ac:dyDescent="0.2">
      <c r="A213">
        <v>12795</v>
      </c>
      <c r="B213">
        <v>0.09</v>
      </c>
      <c r="C213">
        <f>Table1[[#This Row],[Milliseconds]]/1000</f>
        <v>12.795</v>
      </c>
      <c r="D213">
        <f>Table1[[#This Row],[mass (kg)]]*9.81</f>
        <v>0.88290000000000002</v>
      </c>
    </row>
    <row r="214" spans="1:4" x14ac:dyDescent="0.2">
      <c r="A214">
        <v>12855</v>
      </c>
      <c r="B214">
        <v>0.1</v>
      </c>
      <c r="C214">
        <f>Table1[[#This Row],[Milliseconds]]/1000</f>
        <v>12.855</v>
      </c>
      <c r="D214">
        <f>Table1[[#This Row],[mass (kg)]]*9.81</f>
        <v>0.98100000000000009</v>
      </c>
    </row>
    <row r="215" spans="1:4" x14ac:dyDescent="0.2">
      <c r="A215">
        <v>12915</v>
      </c>
      <c r="B215">
        <v>0.1</v>
      </c>
      <c r="C215">
        <f>Table1[[#This Row],[Milliseconds]]/1000</f>
        <v>12.914999999999999</v>
      </c>
      <c r="D215">
        <f>Table1[[#This Row],[mass (kg)]]*9.81</f>
        <v>0.98100000000000009</v>
      </c>
    </row>
    <row r="216" spans="1:4" x14ac:dyDescent="0.2">
      <c r="A216">
        <v>12976</v>
      </c>
      <c r="B216">
        <v>0.09</v>
      </c>
      <c r="C216">
        <f>Table1[[#This Row],[Milliseconds]]/1000</f>
        <v>12.976000000000001</v>
      </c>
      <c r="D216">
        <f>Table1[[#This Row],[mass (kg)]]*9.81</f>
        <v>0.88290000000000002</v>
      </c>
    </row>
    <row r="217" spans="1:4" x14ac:dyDescent="0.2">
      <c r="A217">
        <v>13036</v>
      </c>
      <c r="B217">
        <v>0.08</v>
      </c>
      <c r="C217">
        <f>Table1[[#This Row],[Milliseconds]]/1000</f>
        <v>13.036</v>
      </c>
      <c r="D217">
        <f>Table1[[#This Row],[mass (kg)]]*9.81</f>
        <v>0.78480000000000005</v>
      </c>
    </row>
    <row r="218" spans="1:4" x14ac:dyDescent="0.2">
      <c r="A218">
        <v>13095</v>
      </c>
      <c r="B218">
        <v>0.08</v>
      </c>
      <c r="C218">
        <f>Table1[[#This Row],[Milliseconds]]/1000</f>
        <v>13.095000000000001</v>
      </c>
      <c r="D218">
        <f>Table1[[#This Row],[mass (kg)]]*9.81</f>
        <v>0.78480000000000005</v>
      </c>
    </row>
    <row r="219" spans="1:4" x14ac:dyDescent="0.2">
      <c r="A219">
        <v>13156</v>
      </c>
      <c r="B219">
        <v>0.08</v>
      </c>
      <c r="C219">
        <f>Table1[[#This Row],[Milliseconds]]/1000</f>
        <v>13.156000000000001</v>
      </c>
      <c r="D219">
        <f>Table1[[#This Row],[mass (kg)]]*9.81</f>
        <v>0.78480000000000005</v>
      </c>
    </row>
    <row r="220" spans="1:4" x14ac:dyDescent="0.2">
      <c r="A220">
        <v>13216</v>
      </c>
      <c r="B220">
        <v>0.08</v>
      </c>
      <c r="C220">
        <f>Table1[[#This Row],[Milliseconds]]/1000</f>
        <v>13.215999999999999</v>
      </c>
      <c r="D220">
        <f>Table1[[#This Row],[mass (kg)]]*9.81</f>
        <v>0.78480000000000005</v>
      </c>
    </row>
    <row r="221" spans="1:4" x14ac:dyDescent="0.2">
      <c r="A221">
        <v>13276</v>
      </c>
      <c r="B221">
        <v>0.08</v>
      </c>
      <c r="C221">
        <f>Table1[[#This Row],[Milliseconds]]/1000</f>
        <v>13.276</v>
      </c>
      <c r="D221">
        <f>Table1[[#This Row],[mass (kg)]]*9.81</f>
        <v>0.78480000000000005</v>
      </c>
    </row>
    <row r="222" spans="1:4" x14ac:dyDescent="0.2">
      <c r="A222">
        <v>13336</v>
      </c>
      <c r="B222">
        <v>7.0000000000000007E-2</v>
      </c>
      <c r="C222">
        <f>Table1[[#This Row],[Milliseconds]]/1000</f>
        <v>13.336</v>
      </c>
      <c r="D222">
        <f>Table1[[#This Row],[mass (kg)]]*9.81</f>
        <v>0.68670000000000009</v>
      </c>
    </row>
    <row r="223" spans="1:4" x14ac:dyDescent="0.2">
      <c r="A223">
        <v>13396</v>
      </c>
      <c r="B223">
        <v>0.09</v>
      </c>
      <c r="C223">
        <f>Table1[[#This Row],[Milliseconds]]/1000</f>
        <v>13.396000000000001</v>
      </c>
      <c r="D223">
        <f>Table1[[#This Row],[mass (kg)]]*9.81</f>
        <v>0.88290000000000002</v>
      </c>
    </row>
    <row r="224" spans="1:4" x14ac:dyDescent="0.2">
      <c r="A224">
        <v>13457</v>
      </c>
      <c r="B224">
        <v>0.09</v>
      </c>
      <c r="C224">
        <f>Table1[[#This Row],[Milliseconds]]/1000</f>
        <v>13.457000000000001</v>
      </c>
      <c r="D224">
        <f>Table1[[#This Row],[mass (kg)]]*9.81</f>
        <v>0.88290000000000002</v>
      </c>
    </row>
    <row r="225" spans="1:4" x14ac:dyDescent="0.2">
      <c r="A225">
        <v>13516</v>
      </c>
      <c r="B225">
        <v>0.09</v>
      </c>
      <c r="C225">
        <f>Table1[[#This Row],[Milliseconds]]/1000</f>
        <v>13.516</v>
      </c>
      <c r="D225">
        <f>Table1[[#This Row],[mass (kg)]]*9.81</f>
        <v>0.88290000000000002</v>
      </c>
    </row>
    <row r="226" spans="1:4" x14ac:dyDescent="0.2">
      <c r="A226">
        <v>13577</v>
      </c>
      <c r="B226">
        <v>0.1</v>
      </c>
      <c r="C226">
        <f>Table1[[#This Row],[Milliseconds]]/1000</f>
        <v>13.577</v>
      </c>
      <c r="D226">
        <f>Table1[[#This Row],[mass (kg)]]*9.81</f>
        <v>0.98100000000000009</v>
      </c>
    </row>
    <row r="227" spans="1:4" x14ac:dyDescent="0.2">
      <c r="A227">
        <v>13637</v>
      </c>
      <c r="B227">
        <v>0.09</v>
      </c>
      <c r="C227">
        <f>Table1[[#This Row],[Milliseconds]]/1000</f>
        <v>13.637</v>
      </c>
      <c r="D227">
        <f>Table1[[#This Row],[mass (kg)]]*9.81</f>
        <v>0.88290000000000002</v>
      </c>
    </row>
    <row r="228" spans="1:4" x14ac:dyDescent="0.2">
      <c r="A228">
        <v>13697</v>
      </c>
      <c r="B228">
        <v>0.11</v>
      </c>
      <c r="C228">
        <f>Table1[[#This Row],[Milliseconds]]/1000</f>
        <v>13.696999999999999</v>
      </c>
      <c r="D228">
        <f>Table1[[#This Row],[mass (kg)]]*9.81</f>
        <v>1.0791000000000002</v>
      </c>
    </row>
    <row r="229" spans="1:4" x14ac:dyDescent="0.2">
      <c r="A229">
        <v>13757</v>
      </c>
      <c r="B229">
        <v>0.08</v>
      </c>
      <c r="C229">
        <f>Table1[[#This Row],[Milliseconds]]/1000</f>
        <v>13.757</v>
      </c>
      <c r="D229">
        <f>Table1[[#This Row],[mass (kg)]]*9.81</f>
        <v>0.78480000000000005</v>
      </c>
    </row>
    <row r="230" spans="1:4" x14ac:dyDescent="0.2">
      <c r="A230">
        <v>13817</v>
      </c>
      <c r="B230">
        <v>0.09</v>
      </c>
      <c r="C230">
        <f>Table1[[#This Row],[Milliseconds]]/1000</f>
        <v>13.817</v>
      </c>
      <c r="D230">
        <f>Table1[[#This Row],[mass (kg)]]*9.81</f>
        <v>0.88290000000000002</v>
      </c>
    </row>
    <row r="231" spans="1:4" x14ac:dyDescent="0.2">
      <c r="A231">
        <v>13877</v>
      </c>
      <c r="B231">
        <v>0.09</v>
      </c>
      <c r="C231">
        <f>Table1[[#This Row],[Milliseconds]]/1000</f>
        <v>13.877000000000001</v>
      </c>
      <c r="D231">
        <f>Table1[[#This Row],[mass (kg)]]*9.81</f>
        <v>0.88290000000000002</v>
      </c>
    </row>
    <row r="232" spans="1:4" x14ac:dyDescent="0.2">
      <c r="A232">
        <v>13937</v>
      </c>
      <c r="B232">
        <v>0.11</v>
      </c>
      <c r="C232">
        <f>Table1[[#This Row],[Milliseconds]]/1000</f>
        <v>13.936999999999999</v>
      </c>
      <c r="D232">
        <f>Table1[[#This Row],[mass (kg)]]*9.81</f>
        <v>1.0791000000000002</v>
      </c>
    </row>
    <row r="233" spans="1:4" x14ac:dyDescent="0.2">
      <c r="A233">
        <v>13998</v>
      </c>
      <c r="B233">
        <v>7.0000000000000007E-2</v>
      </c>
      <c r="C233">
        <f>Table1[[#This Row],[Milliseconds]]/1000</f>
        <v>13.997999999999999</v>
      </c>
      <c r="D233">
        <f>Table1[[#This Row],[mass (kg)]]*9.81</f>
        <v>0.68670000000000009</v>
      </c>
    </row>
    <row r="234" spans="1:4" x14ac:dyDescent="0.2">
      <c r="A234">
        <v>14058</v>
      </c>
      <c r="B234">
        <v>0.08</v>
      </c>
      <c r="C234">
        <f>Table1[[#This Row],[Milliseconds]]/1000</f>
        <v>14.058</v>
      </c>
      <c r="D234">
        <f>Table1[[#This Row],[mass (kg)]]*9.81</f>
        <v>0.78480000000000005</v>
      </c>
    </row>
    <row r="235" spans="1:4" x14ac:dyDescent="0.2">
      <c r="A235">
        <v>14117</v>
      </c>
      <c r="B235">
        <v>7.0000000000000007E-2</v>
      </c>
      <c r="C235">
        <f>Table1[[#This Row],[Milliseconds]]/1000</f>
        <v>14.117000000000001</v>
      </c>
      <c r="D235">
        <f>Table1[[#This Row],[mass (kg)]]*9.81</f>
        <v>0.68670000000000009</v>
      </c>
    </row>
    <row r="236" spans="1:4" x14ac:dyDescent="0.2">
      <c r="A236">
        <v>14178</v>
      </c>
      <c r="B236">
        <v>0.08</v>
      </c>
      <c r="C236">
        <f>Table1[[#This Row],[Milliseconds]]/1000</f>
        <v>14.178000000000001</v>
      </c>
      <c r="D236">
        <f>Table1[[#This Row],[mass (kg)]]*9.81</f>
        <v>0.78480000000000005</v>
      </c>
    </row>
    <row r="237" spans="1:4" x14ac:dyDescent="0.2">
      <c r="A237">
        <v>14238</v>
      </c>
      <c r="B237">
        <v>0.08</v>
      </c>
      <c r="C237">
        <f>Table1[[#This Row],[Milliseconds]]/1000</f>
        <v>14.238</v>
      </c>
      <c r="D237">
        <f>Table1[[#This Row],[mass (kg)]]*9.81</f>
        <v>0.78480000000000005</v>
      </c>
    </row>
    <row r="238" spans="1:4" x14ac:dyDescent="0.2">
      <c r="A238">
        <v>14298</v>
      </c>
      <c r="B238">
        <v>7.0000000000000007E-2</v>
      </c>
      <c r="C238">
        <f>Table1[[#This Row],[Milliseconds]]/1000</f>
        <v>14.298</v>
      </c>
      <c r="D238">
        <f>Table1[[#This Row],[mass (kg)]]*9.81</f>
        <v>0.68670000000000009</v>
      </c>
    </row>
    <row r="239" spans="1:4" x14ac:dyDescent="0.2">
      <c r="A239">
        <v>14358</v>
      </c>
      <c r="B239">
        <v>0.1</v>
      </c>
      <c r="C239">
        <f>Table1[[#This Row],[Milliseconds]]/1000</f>
        <v>14.358000000000001</v>
      </c>
      <c r="D239">
        <f>Table1[[#This Row],[mass (kg)]]*9.81</f>
        <v>0.98100000000000009</v>
      </c>
    </row>
    <row r="240" spans="1:4" x14ac:dyDescent="0.2">
      <c r="A240">
        <v>14418</v>
      </c>
      <c r="B240">
        <v>0.08</v>
      </c>
      <c r="C240">
        <f>Table1[[#This Row],[Milliseconds]]/1000</f>
        <v>14.417999999999999</v>
      </c>
      <c r="D240">
        <f>Table1[[#This Row],[mass (kg)]]*9.81</f>
        <v>0.78480000000000005</v>
      </c>
    </row>
    <row r="241" spans="1:4" x14ac:dyDescent="0.2">
      <c r="A241">
        <v>14479</v>
      </c>
      <c r="B241">
        <v>0.1</v>
      </c>
      <c r="C241">
        <f>Table1[[#This Row],[Milliseconds]]/1000</f>
        <v>14.478999999999999</v>
      </c>
      <c r="D241">
        <f>Table1[[#This Row],[mass (kg)]]*9.81</f>
        <v>0.98100000000000009</v>
      </c>
    </row>
    <row r="242" spans="1:4" x14ac:dyDescent="0.2">
      <c r="A242">
        <v>14538</v>
      </c>
      <c r="B242">
        <v>7.0000000000000007E-2</v>
      </c>
      <c r="C242">
        <f>Table1[[#This Row],[Milliseconds]]/1000</f>
        <v>14.538</v>
      </c>
      <c r="D242">
        <f>Table1[[#This Row],[mass (kg)]]*9.81</f>
        <v>0.68670000000000009</v>
      </c>
    </row>
    <row r="243" spans="1:4" x14ac:dyDescent="0.2">
      <c r="A243">
        <v>14599</v>
      </c>
      <c r="B243">
        <v>0.08</v>
      </c>
      <c r="C243">
        <f>Table1[[#This Row],[Milliseconds]]/1000</f>
        <v>14.599</v>
      </c>
      <c r="D243">
        <f>Table1[[#This Row],[mass (kg)]]*9.81</f>
        <v>0.78480000000000005</v>
      </c>
    </row>
    <row r="244" spans="1:4" x14ac:dyDescent="0.2">
      <c r="A244">
        <v>14659</v>
      </c>
      <c r="B244">
        <v>0.08</v>
      </c>
      <c r="C244">
        <f>Table1[[#This Row],[Milliseconds]]/1000</f>
        <v>14.659000000000001</v>
      </c>
      <c r="D244">
        <f>Table1[[#This Row],[mass (kg)]]*9.81</f>
        <v>0.78480000000000005</v>
      </c>
    </row>
    <row r="245" spans="1:4" x14ac:dyDescent="0.2">
      <c r="A245">
        <v>14718</v>
      </c>
      <c r="B245">
        <v>0.08</v>
      </c>
      <c r="C245">
        <f>Table1[[#This Row],[Milliseconds]]/1000</f>
        <v>14.718</v>
      </c>
      <c r="D245">
        <f>Table1[[#This Row],[mass (kg)]]*9.81</f>
        <v>0.78480000000000005</v>
      </c>
    </row>
    <row r="246" spans="1:4" x14ac:dyDescent="0.2">
      <c r="A246">
        <v>14779</v>
      </c>
      <c r="B246">
        <v>0.06</v>
      </c>
      <c r="C246">
        <f>Table1[[#This Row],[Milliseconds]]/1000</f>
        <v>14.779</v>
      </c>
      <c r="D246">
        <f>Table1[[#This Row],[mass (kg)]]*9.81</f>
        <v>0.58860000000000001</v>
      </c>
    </row>
    <row r="247" spans="1:4" x14ac:dyDescent="0.2">
      <c r="A247">
        <v>14839</v>
      </c>
      <c r="B247">
        <v>0.09</v>
      </c>
      <c r="C247">
        <f>Table1[[#This Row],[Milliseconds]]/1000</f>
        <v>14.839</v>
      </c>
      <c r="D247">
        <f>Table1[[#This Row],[mass (kg)]]*9.81</f>
        <v>0.88290000000000002</v>
      </c>
    </row>
    <row r="248" spans="1:4" x14ac:dyDescent="0.2">
      <c r="A248">
        <v>14899</v>
      </c>
      <c r="B248">
        <v>0.08</v>
      </c>
      <c r="C248">
        <f>Table1[[#This Row],[Milliseconds]]/1000</f>
        <v>14.898999999999999</v>
      </c>
      <c r="D248">
        <f>Table1[[#This Row],[mass (kg)]]*9.81</f>
        <v>0.78480000000000005</v>
      </c>
    </row>
    <row r="249" spans="1:4" x14ac:dyDescent="0.2">
      <c r="A249">
        <v>14959</v>
      </c>
      <c r="B249">
        <v>0.09</v>
      </c>
      <c r="C249">
        <f>Table1[[#This Row],[Milliseconds]]/1000</f>
        <v>14.959</v>
      </c>
      <c r="D249">
        <f>Table1[[#This Row],[mass (kg)]]*9.81</f>
        <v>0.88290000000000002</v>
      </c>
    </row>
    <row r="250" spans="1:4" x14ac:dyDescent="0.2">
      <c r="A250">
        <v>15020</v>
      </c>
      <c r="B250">
        <v>0.08</v>
      </c>
      <c r="C250">
        <f>Table1[[#This Row],[Milliseconds]]/1000</f>
        <v>15.02</v>
      </c>
      <c r="D250">
        <f>Table1[[#This Row],[mass (kg)]]*9.81</f>
        <v>0.78480000000000005</v>
      </c>
    </row>
    <row r="251" spans="1:4" x14ac:dyDescent="0.2">
      <c r="A251">
        <v>15080</v>
      </c>
      <c r="B251">
        <v>0.09</v>
      </c>
      <c r="C251">
        <f>Table1[[#This Row],[Milliseconds]]/1000</f>
        <v>15.08</v>
      </c>
      <c r="D251">
        <f>Table1[[#This Row],[mass (kg)]]*9.81</f>
        <v>0.88290000000000002</v>
      </c>
    </row>
    <row r="252" spans="1:4" x14ac:dyDescent="0.2">
      <c r="A252">
        <v>15139</v>
      </c>
      <c r="B252">
        <v>0.1</v>
      </c>
      <c r="C252">
        <f>Table1[[#This Row],[Milliseconds]]/1000</f>
        <v>15.138999999999999</v>
      </c>
      <c r="D252">
        <f>Table1[[#This Row],[mass (kg)]]*9.81</f>
        <v>0.98100000000000009</v>
      </c>
    </row>
    <row r="253" spans="1:4" x14ac:dyDescent="0.2">
      <c r="A253">
        <v>15200</v>
      </c>
      <c r="B253">
        <v>0.11</v>
      </c>
      <c r="C253">
        <f>Table1[[#This Row],[Milliseconds]]/1000</f>
        <v>15.2</v>
      </c>
      <c r="D253">
        <f>Table1[[#This Row],[mass (kg)]]*9.81</f>
        <v>1.0791000000000002</v>
      </c>
    </row>
    <row r="254" spans="1:4" x14ac:dyDescent="0.2">
      <c r="A254">
        <v>15260</v>
      </c>
      <c r="B254">
        <v>0.09</v>
      </c>
      <c r="C254">
        <f>Table1[[#This Row],[Milliseconds]]/1000</f>
        <v>15.26</v>
      </c>
      <c r="D254">
        <f>Table1[[#This Row],[mass (kg)]]*9.81</f>
        <v>0.88290000000000002</v>
      </c>
    </row>
    <row r="255" spans="1:4" x14ac:dyDescent="0.2">
      <c r="A255">
        <v>15320</v>
      </c>
      <c r="B255">
        <v>0.09</v>
      </c>
      <c r="C255">
        <f>Table1[[#This Row],[Milliseconds]]/1000</f>
        <v>15.32</v>
      </c>
      <c r="D255">
        <f>Table1[[#This Row],[mass (kg)]]*9.81</f>
        <v>0.88290000000000002</v>
      </c>
    </row>
    <row r="256" spans="1:4" x14ac:dyDescent="0.2">
      <c r="A256">
        <v>15380</v>
      </c>
      <c r="B256">
        <v>0.09</v>
      </c>
      <c r="C256">
        <f>Table1[[#This Row],[Milliseconds]]/1000</f>
        <v>15.38</v>
      </c>
      <c r="D256">
        <f>Table1[[#This Row],[mass (kg)]]*9.81</f>
        <v>0.88290000000000002</v>
      </c>
    </row>
    <row r="257" spans="1:4" x14ac:dyDescent="0.2">
      <c r="A257">
        <v>15440</v>
      </c>
      <c r="B257">
        <v>0.09</v>
      </c>
      <c r="C257">
        <f>Table1[[#This Row],[Milliseconds]]/1000</f>
        <v>15.44</v>
      </c>
      <c r="D257">
        <f>Table1[[#This Row],[mass (kg)]]*9.81</f>
        <v>0.88290000000000002</v>
      </c>
    </row>
    <row r="258" spans="1:4" x14ac:dyDescent="0.2">
      <c r="A258">
        <v>15501</v>
      </c>
      <c r="B258">
        <v>0.08</v>
      </c>
      <c r="C258">
        <f>Table1[[#This Row],[Milliseconds]]/1000</f>
        <v>15.500999999999999</v>
      </c>
      <c r="D258">
        <f>Table1[[#This Row],[mass (kg)]]*9.81</f>
        <v>0.78480000000000005</v>
      </c>
    </row>
    <row r="259" spans="1:4" x14ac:dyDescent="0.2">
      <c r="A259">
        <v>15560</v>
      </c>
      <c r="B259">
        <v>7.0000000000000007E-2</v>
      </c>
      <c r="C259">
        <f>Table1[[#This Row],[Milliseconds]]/1000</f>
        <v>15.56</v>
      </c>
      <c r="D259">
        <f>Table1[[#This Row],[mass (kg)]]*9.81</f>
        <v>0.68670000000000009</v>
      </c>
    </row>
    <row r="260" spans="1:4" x14ac:dyDescent="0.2">
      <c r="A260">
        <v>15621</v>
      </c>
      <c r="B260">
        <v>0.09</v>
      </c>
      <c r="C260">
        <f>Table1[[#This Row],[Milliseconds]]/1000</f>
        <v>15.621</v>
      </c>
      <c r="D260">
        <f>Table1[[#This Row],[mass (kg)]]*9.81</f>
        <v>0.88290000000000002</v>
      </c>
    </row>
    <row r="261" spans="1:4" x14ac:dyDescent="0.2">
      <c r="A261">
        <v>15681</v>
      </c>
      <c r="B261">
        <v>0.09</v>
      </c>
      <c r="C261">
        <f>Table1[[#This Row],[Milliseconds]]/1000</f>
        <v>15.680999999999999</v>
      </c>
      <c r="D261">
        <f>Table1[[#This Row],[mass (kg)]]*9.81</f>
        <v>0.88290000000000002</v>
      </c>
    </row>
    <row r="262" spans="1:4" x14ac:dyDescent="0.2">
      <c r="A262">
        <v>15740</v>
      </c>
      <c r="B262">
        <v>7.0000000000000007E-2</v>
      </c>
      <c r="C262">
        <f>Table1[[#This Row],[Milliseconds]]/1000</f>
        <v>15.74</v>
      </c>
      <c r="D262">
        <f>Table1[[#This Row],[mass (kg)]]*9.81</f>
        <v>0.68670000000000009</v>
      </c>
    </row>
    <row r="263" spans="1:4" x14ac:dyDescent="0.2">
      <c r="A263">
        <v>15801</v>
      </c>
      <c r="B263">
        <v>0.08</v>
      </c>
      <c r="C263">
        <f>Table1[[#This Row],[Milliseconds]]/1000</f>
        <v>15.801</v>
      </c>
      <c r="D263">
        <f>Table1[[#This Row],[mass (kg)]]*9.81</f>
        <v>0.78480000000000005</v>
      </c>
    </row>
    <row r="264" spans="1:4" x14ac:dyDescent="0.2">
      <c r="A264">
        <v>15861</v>
      </c>
      <c r="B264">
        <v>0.09</v>
      </c>
      <c r="C264">
        <f>Table1[[#This Row],[Milliseconds]]/1000</f>
        <v>15.861000000000001</v>
      </c>
      <c r="D264">
        <f>Table1[[#This Row],[mass (kg)]]*9.81</f>
        <v>0.88290000000000002</v>
      </c>
    </row>
    <row r="265" spans="1:4" x14ac:dyDescent="0.2">
      <c r="A265">
        <v>15922</v>
      </c>
      <c r="B265">
        <v>0.09</v>
      </c>
      <c r="C265">
        <f>Table1[[#This Row],[Milliseconds]]/1000</f>
        <v>15.922000000000001</v>
      </c>
      <c r="D265">
        <f>Table1[[#This Row],[mass (kg)]]*9.81</f>
        <v>0.88290000000000002</v>
      </c>
    </row>
    <row r="266" spans="1:4" x14ac:dyDescent="0.2">
      <c r="A266">
        <v>15981</v>
      </c>
      <c r="B266">
        <v>7.0000000000000007E-2</v>
      </c>
      <c r="C266">
        <f>Table1[[#This Row],[Milliseconds]]/1000</f>
        <v>15.981</v>
      </c>
      <c r="D266">
        <f>Table1[[#This Row],[mass (kg)]]*9.81</f>
        <v>0.68670000000000009</v>
      </c>
    </row>
    <row r="267" spans="1:4" x14ac:dyDescent="0.2">
      <c r="A267">
        <v>16041</v>
      </c>
      <c r="B267">
        <v>0.09</v>
      </c>
      <c r="C267">
        <f>Table1[[#This Row],[Milliseconds]]/1000</f>
        <v>16.041</v>
      </c>
      <c r="D267">
        <f>Table1[[#This Row],[mass (kg)]]*9.81</f>
        <v>0.88290000000000002</v>
      </c>
    </row>
    <row r="268" spans="1:4" x14ac:dyDescent="0.2">
      <c r="A268">
        <v>16102</v>
      </c>
      <c r="B268">
        <v>7.0000000000000007E-2</v>
      </c>
      <c r="C268">
        <f>Table1[[#This Row],[Milliseconds]]/1000</f>
        <v>16.102</v>
      </c>
      <c r="D268">
        <f>Table1[[#This Row],[mass (kg)]]*9.81</f>
        <v>0.68670000000000009</v>
      </c>
    </row>
    <row r="269" spans="1:4" x14ac:dyDescent="0.2">
      <c r="A269">
        <v>16161</v>
      </c>
      <c r="B269">
        <v>0.06</v>
      </c>
      <c r="C269">
        <f>Table1[[#This Row],[Milliseconds]]/1000</f>
        <v>16.161000000000001</v>
      </c>
      <c r="D269">
        <f>Table1[[#This Row],[mass (kg)]]*9.81</f>
        <v>0.58860000000000001</v>
      </c>
    </row>
    <row r="270" spans="1:4" x14ac:dyDescent="0.2">
      <c r="A270">
        <v>16222</v>
      </c>
      <c r="B270">
        <v>7.0000000000000007E-2</v>
      </c>
      <c r="C270">
        <f>Table1[[#This Row],[Milliseconds]]/1000</f>
        <v>16.222000000000001</v>
      </c>
      <c r="D270">
        <f>Table1[[#This Row],[mass (kg)]]*9.81</f>
        <v>0.68670000000000009</v>
      </c>
    </row>
    <row r="271" spans="1:4" x14ac:dyDescent="0.2">
      <c r="A271">
        <v>16282</v>
      </c>
      <c r="B271">
        <v>0.05</v>
      </c>
      <c r="C271">
        <f>Table1[[#This Row],[Milliseconds]]/1000</f>
        <v>16.282</v>
      </c>
      <c r="D271">
        <f>Table1[[#This Row],[mass (kg)]]*9.81</f>
        <v>0.49050000000000005</v>
      </c>
    </row>
    <row r="272" spans="1:4" x14ac:dyDescent="0.2">
      <c r="A272">
        <v>16342</v>
      </c>
      <c r="B272">
        <v>-0.02</v>
      </c>
      <c r="C272">
        <f>Table1[[#This Row],[Milliseconds]]/1000</f>
        <v>16.341999999999999</v>
      </c>
      <c r="D272">
        <f>Table1[[#This Row],[mass (kg)]]*9.81</f>
        <v>-0.19620000000000001</v>
      </c>
    </row>
    <row r="273" spans="1:4" x14ac:dyDescent="0.2">
      <c r="A273">
        <v>16402</v>
      </c>
      <c r="B273">
        <v>-0.05</v>
      </c>
      <c r="C273">
        <f>Table1[[#This Row],[Milliseconds]]/1000</f>
        <v>16.402000000000001</v>
      </c>
      <c r="D273">
        <f>Table1[[#This Row],[mass (kg)]]*9.81</f>
        <v>-0.49050000000000005</v>
      </c>
    </row>
    <row r="274" spans="1:4" x14ac:dyDescent="0.2">
      <c r="A274">
        <v>16462</v>
      </c>
      <c r="B274">
        <v>-0.06</v>
      </c>
      <c r="C274">
        <f>Table1[[#This Row],[Milliseconds]]/1000</f>
        <v>16.462</v>
      </c>
      <c r="D274">
        <f>Table1[[#This Row],[mass (kg)]]*9.81</f>
        <v>-0.58860000000000001</v>
      </c>
    </row>
    <row r="275" spans="1:4" x14ac:dyDescent="0.2">
      <c r="A275">
        <v>16523</v>
      </c>
      <c r="B275">
        <v>-0.08</v>
      </c>
      <c r="C275">
        <f>Table1[[#This Row],[Milliseconds]]/1000</f>
        <v>16.523</v>
      </c>
      <c r="D275">
        <f>Table1[[#This Row],[mass (kg)]]*9.81</f>
        <v>-0.78480000000000005</v>
      </c>
    </row>
    <row r="276" spans="1:4" x14ac:dyDescent="0.2">
      <c r="A276">
        <v>16582</v>
      </c>
      <c r="B276">
        <v>-0.11</v>
      </c>
      <c r="C276">
        <f>Table1[[#This Row],[Milliseconds]]/1000</f>
        <v>16.582000000000001</v>
      </c>
      <c r="D276">
        <f>Table1[[#This Row],[mass (kg)]]*9.81</f>
        <v>-1.0791000000000002</v>
      </c>
    </row>
    <row r="277" spans="1:4" x14ac:dyDescent="0.2">
      <c r="A277">
        <v>16643</v>
      </c>
      <c r="B277">
        <v>-0.1</v>
      </c>
      <c r="C277">
        <f>Table1[[#This Row],[Milliseconds]]/1000</f>
        <v>16.643000000000001</v>
      </c>
      <c r="D277">
        <f>Table1[[#This Row],[mass (kg)]]*9.81</f>
        <v>-0.98100000000000009</v>
      </c>
    </row>
    <row r="278" spans="1:4" x14ac:dyDescent="0.2">
      <c r="A278">
        <v>16703</v>
      </c>
      <c r="B278">
        <v>0.44</v>
      </c>
      <c r="C278">
        <f>Table1[[#This Row],[Milliseconds]]/1000</f>
        <v>16.702999999999999</v>
      </c>
      <c r="D278">
        <f>Table1[[#This Row],[mass (kg)]]*9.81</f>
        <v>4.3164000000000007</v>
      </c>
    </row>
    <row r="279" spans="1:4" x14ac:dyDescent="0.2">
      <c r="A279">
        <v>16762</v>
      </c>
      <c r="B279">
        <v>0.54</v>
      </c>
      <c r="C279">
        <f>Table1[[#This Row],[Milliseconds]]/1000</f>
        <v>16.762</v>
      </c>
      <c r="D279">
        <f>Table1[[#This Row],[mass (kg)]]*9.81</f>
        <v>5.2974000000000006</v>
      </c>
    </row>
    <row r="280" spans="1:4" x14ac:dyDescent="0.2">
      <c r="A280">
        <v>16823</v>
      </c>
      <c r="B280">
        <v>0.43</v>
      </c>
      <c r="C280">
        <f>Table1[[#This Row],[Milliseconds]]/1000</f>
        <v>16.823</v>
      </c>
      <c r="D280">
        <f>Table1[[#This Row],[mass (kg)]]*9.81</f>
        <v>4.2183000000000002</v>
      </c>
    </row>
    <row r="281" spans="1:4" x14ac:dyDescent="0.2">
      <c r="A281">
        <v>16883</v>
      </c>
      <c r="B281">
        <v>0.3</v>
      </c>
      <c r="C281">
        <f>Table1[[#This Row],[Milliseconds]]/1000</f>
        <v>16.882999999999999</v>
      </c>
      <c r="D281">
        <f>Table1[[#This Row],[mass (kg)]]*9.81</f>
        <v>2.9430000000000001</v>
      </c>
    </row>
    <row r="282" spans="1:4" x14ac:dyDescent="0.2">
      <c r="A282">
        <v>16944</v>
      </c>
      <c r="B282">
        <v>0.21</v>
      </c>
      <c r="C282">
        <f>Table1[[#This Row],[Milliseconds]]/1000</f>
        <v>16.943999999999999</v>
      </c>
      <c r="D282">
        <f>Table1[[#This Row],[mass (kg)]]*9.81</f>
        <v>2.0600999999999998</v>
      </c>
    </row>
    <row r="283" spans="1:4" x14ac:dyDescent="0.2">
      <c r="A283">
        <v>17003</v>
      </c>
      <c r="B283">
        <v>0.14000000000000001</v>
      </c>
      <c r="C283">
        <f>Table1[[#This Row],[Milliseconds]]/1000</f>
        <v>17.003</v>
      </c>
      <c r="D283">
        <f>Table1[[#This Row],[mass (kg)]]*9.81</f>
        <v>1.3734000000000002</v>
      </c>
    </row>
    <row r="284" spans="1:4" x14ac:dyDescent="0.2">
      <c r="A284">
        <v>17063</v>
      </c>
      <c r="B284">
        <v>0.1</v>
      </c>
      <c r="C284">
        <f>Table1[[#This Row],[Milliseconds]]/1000</f>
        <v>17.062999999999999</v>
      </c>
      <c r="D284">
        <f>Table1[[#This Row],[mass (kg)]]*9.81</f>
        <v>0.98100000000000009</v>
      </c>
    </row>
    <row r="285" spans="1:4" x14ac:dyDescent="0.2">
      <c r="A285">
        <v>17124</v>
      </c>
      <c r="B285">
        <v>0.1</v>
      </c>
      <c r="C285">
        <f>Table1[[#This Row],[Milliseconds]]/1000</f>
        <v>17.123999999999999</v>
      </c>
      <c r="D285">
        <f>Table1[[#This Row],[mass (kg)]]*9.81</f>
        <v>0.98100000000000009</v>
      </c>
    </row>
    <row r="286" spans="1:4" x14ac:dyDescent="0.2">
      <c r="A286">
        <v>17183</v>
      </c>
      <c r="B286">
        <v>0.12</v>
      </c>
      <c r="C286">
        <f>Table1[[#This Row],[Milliseconds]]/1000</f>
        <v>17.183</v>
      </c>
      <c r="D286">
        <f>Table1[[#This Row],[mass (kg)]]*9.81</f>
        <v>1.1772</v>
      </c>
    </row>
    <row r="287" spans="1:4" x14ac:dyDescent="0.2">
      <c r="A287">
        <v>17244</v>
      </c>
      <c r="B287">
        <v>0.19</v>
      </c>
      <c r="C287">
        <f>Table1[[#This Row],[Milliseconds]]/1000</f>
        <v>17.244</v>
      </c>
      <c r="D287">
        <f>Table1[[#This Row],[mass (kg)]]*9.81</f>
        <v>1.8639000000000001</v>
      </c>
    </row>
    <row r="288" spans="1:4" x14ac:dyDescent="0.2">
      <c r="A288">
        <v>17304</v>
      </c>
      <c r="B288">
        <v>0.21</v>
      </c>
      <c r="C288">
        <f>Table1[[#This Row],[Milliseconds]]/1000</f>
        <v>17.303999999999998</v>
      </c>
      <c r="D288">
        <f>Table1[[#This Row],[mass (kg)]]*9.81</f>
        <v>2.0600999999999998</v>
      </c>
    </row>
    <row r="289" spans="1:4" x14ac:dyDescent="0.2">
      <c r="A289">
        <v>17363</v>
      </c>
      <c r="B289">
        <v>0.31</v>
      </c>
      <c r="C289">
        <f>Table1[[#This Row],[Milliseconds]]/1000</f>
        <v>17.363</v>
      </c>
      <c r="D289">
        <f>Table1[[#This Row],[mass (kg)]]*9.81</f>
        <v>3.0411000000000001</v>
      </c>
    </row>
    <row r="290" spans="1:4" x14ac:dyDescent="0.2">
      <c r="A290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Elias Amir - (eliasathomas)</dc:creator>
  <cp:lastModifiedBy>Thomas, Elias Amir - (eliasathomas)</cp:lastModifiedBy>
  <dcterms:created xsi:type="dcterms:W3CDTF">2024-11-09T00:14:32Z</dcterms:created>
  <dcterms:modified xsi:type="dcterms:W3CDTF">2024-11-09T00:21:31Z</dcterms:modified>
</cp:coreProperties>
</file>